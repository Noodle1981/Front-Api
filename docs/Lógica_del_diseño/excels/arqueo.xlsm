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ENVIAR SUCURSAL" sheetId="1" r:id="rId5"/>
    <sheet state="visible" name="ENVIAR EGRESOS" sheetId="2" r:id="rId6"/>
    <sheet state="visible" name="ENVIAR NO CONCILIADOS" sheetId="3" r:id="rId7"/>
    <sheet state="visible" name="ENVIAR ANULACIONES" sheetId="4" r:id="rId8"/>
  </sheets>
  <definedNames>
    <definedName name="_xleta.AND">#NAME?</definedName>
    <definedName name="_xleta.COUNT">#NAME?</definedName>
    <definedName name="_xleta.IF">#NAME?</definedName>
    <definedName name="_xleta.IFERROR">#NAME?</definedName>
    <definedName name="_xleta.MIN">#NAME?</definedName>
    <definedName name="_xleta.N">#NAME?</definedName>
    <definedName name="_xleta.NOT">#NAME?</definedName>
    <definedName name="_xleta.PMT">#NAME?</definedName>
    <definedName name="_xleta.PV">#NAME?</definedName>
    <definedName name="_xleta.RIGHT">#NAME?</definedName>
    <definedName name="_xleta.SUMIFS">#NAME?</definedName>
    <definedName name="_xleta.T">#NAME?</definedName>
    <definedName name="_xleta.VALUE">#NAME?</definedName>
    <definedName name="SegmentaciónDeDatos_TURNO">#REF!</definedName>
    <definedName name="ed">#REF!</definedName>
    <definedName name="Encargadoss2">#REF!</definedName>
    <definedName name="Encargadosss">#REF!</definedName>
    <definedName name="Encargados4">#REF!</definedName>
    <definedName name="SegmentaciónDeDatos_Fecha">#REF!</definedName>
    <definedName name="Encargadoss">#REF!</definedName>
    <definedName name="Encargadss">#REF!</definedName>
    <definedName name="Encargados">#REF!</definedName>
    <definedName name="Encargados2">#REF!</definedName>
    <definedName name="Encargads">#REF!</definedName>
  </definedNames>
  <calcPr/>
  <extLst>
    <ext uri="GoogleSheetsCustomDataVersion2">
      <go:sheetsCustomData xmlns:go="http://customooxmlschemas.google.com/" r:id="rId9" roundtripDataChecksum="ZcUqUT8hDb5visPgrJf+pqlkaRTS1mkJYgEuVSv5IHo="/>
    </ext>
  </extLst>
</workbook>
</file>

<file path=xl/sharedStrings.xml><?xml version="1.0" encoding="utf-8"?>
<sst xmlns="http://schemas.openxmlformats.org/spreadsheetml/2006/main" count="37" uniqueCount="13">
  <si>
    <t>IMPORTE</t>
  </si>
  <si>
    <t>HORA</t>
  </si>
  <si>
    <t>DETALLE</t>
  </si>
  <si>
    <t>INTERNO</t>
  </si>
  <si>
    <t>ID de Venta</t>
  </si>
  <si>
    <t>Hora</t>
  </si>
  <si>
    <t>Monto</t>
  </si>
  <si>
    <t>ID Comanda</t>
  </si>
  <si>
    <t>Camarero Mesa</t>
  </si>
  <si>
    <t>Producto</t>
  </si>
  <si>
    <t>Comentario</t>
  </si>
  <si>
    <t>Hora Anulación</t>
  </si>
  <si>
    <t>Precios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</si>
</sst>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[$-F400]h:mm:ss\ AM/PM"/>
    <numFmt numFmtId="165" formatCode="_-&quot;$&quot;\ * #,##0.00_-;\-&quot;$&quot;\ * #,##0.00_-;_-&quot;$&quot;\ * &quot;-&quot;??_-;_-@"/>
    <numFmt numFmtId="166" formatCode="&quot;$&quot;\ #,##0.00"/>
  </numFmts>
  <fonts count="6">
    <font>
      <sz val="11.0"/>
      <color theme="1"/>
      <name val="Calibri"/>
      <scheme val="minor"/>
    </font>
    <font>
      <sz val="11.0"/>
      <color theme="1"/>
      <name val="Calibri"/>
    </font>
    <font>
      <sz val="11.0"/>
      <color theme="0"/>
      <name val="Calibri"/>
    </font>
    <font>
      <b/>
      <sz val="12.0"/>
      <color theme="0"/>
      <name val="Fira Sans"/>
    </font>
    <font>
      <sz val="12.0"/>
      <color theme="1"/>
      <name val="Fira Sans"/>
    </font>
    <font/>
  </fonts>
  <fills count="5">
    <fill>
      <patternFill patternType="none"/>
    </fill>
    <fill>
      <patternFill patternType="lightGray"/>
    </fill>
    <fill>
      <patternFill patternType="solid">
        <fgColor rgb="FF1F3864"/>
        <bgColor rgb="FF1F3864"/>
      </patternFill>
    </fill>
    <fill>
      <patternFill patternType="solid">
        <fgColor rgb="FFE7E6E6"/>
        <bgColor rgb="FFE7E6E6"/>
      </patternFill>
    </fill>
    <fill>
      <patternFill patternType="solid">
        <fgColor theme="0"/>
        <bgColor theme="0"/>
      </patternFill>
    </fill>
  </fills>
  <borders count="8">
    <border/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right style="thin">
        <color theme="0"/>
      </right>
      <top style="thin">
        <color theme="0"/>
      </top>
    </border>
    <border>
      <left style="thin">
        <color theme="0"/>
      </left>
      <top style="thin">
        <color theme="0"/>
      </top>
      <bottom style="thin">
        <color theme="0"/>
      </bottom>
    </border>
    <border>
      <right style="thin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right style="thin">
        <color theme="0"/>
      </right>
      <top style="thin">
        <color theme="0"/>
      </top>
      <bottom/>
    </border>
    <border>
      <left style="thin">
        <color theme="0"/>
      </left>
      <right style="thin">
        <color theme="0"/>
      </right>
      <top/>
      <bottom style="thin">
        <color theme="0"/>
      </bottom>
    </border>
    <border>
      <left/>
      <right/>
      <top/>
      <bottom style="thin">
        <color theme="0"/>
      </bottom>
    </border>
  </borders>
  <cellStyleXfs count="1">
    <xf borderId="0" fillId="0" fontId="0" numFmtId="0" applyAlignment="1" applyFont="1"/>
  </cellStyleXfs>
  <cellXfs count="29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1" fillId="0" fontId="2" numFmtId="0" xfId="0" applyBorder="1" applyFont="1"/>
    <xf borderId="1" fillId="0" fontId="2" numFmtId="164" xfId="0" applyBorder="1" applyFont="1" applyNumberFormat="1"/>
    <xf borderId="1" fillId="0" fontId="2" numFmtId="22" xfId="0" applyBorder="1" applyFont="1" applyNumberFormat="1"/>
    <xf borderId="1" fillId="0" fontId="1" numFmtId="164" xfId="0" applyBorder="1" applyFont="1" applyNumberFormat="1"/>
    <xf borderId="2" fillId="0" fontId="2" numFmtId="165" xfId="0" applyBorder="1" applyFont="1" applyNumberFormat="1"/>
    <xf borderId="2" fillId="0" fontId="1" numFmtId="164" xfId="0" applyBorder="1" applyFont="1" applyNumberFormat="1"/>
    <xf borderId="1" fillId="2" fontId="3" numFmtId="0" xfId="0" applyAlignment="1" applyBorder="1" applyFill="1" applyFont="1">
      <alignment horizontal="center"/>
    </xf>
    <xf borderId="1" fillId="2" fontId="3" numFmtId="164" xfId="0" applyAlignment="1" applyBorder="1" applyFont="1" applyNumberFormat="1">
      <alignment horizontal="center"/>
    </xf>
    <xf borderId="1" fillId="3" fontId="4" numFmtId="165" xfId="0" applyAlignment="1" applyBorder="1" applyFill="1" applyFont="1" applyNumberFormat="1">
      <alignment horizontal="center"/>
    </xf>
    <xf borderId="1" fillId="3" fontId="4" numFmtId="164" xfId="0" applyAlignment="1" applyBorder="1" applyFont="1" applyNumberFormat="1">
      <alignment horizontal="center"/>
    </xf>
    <xf borderId="1" fillId="3" fontId="4" numFmtId="1" xfId="0" applyAlignment="1" applyBorder="1" applyFont="1" applyNumberFormat="1">
      <alignment horizontal="center"/>
    </xf>
    <xf borderId="3" fillId="0" fontId="1" numFmtId="0" xfId="0" applyBorder="1" applyFont="1"/>
    <xf borderId="4" fillId="0" fontId="5" numFmtId="0" xfId="0" applyBorder="1" applyFont="1"/>
    <xf borderId="1" fillId="4" fontId="1" numFmtId="0" xfId="0" applyBorder="1" applyFill="1" applyFont="1"/>
    <xf borderId="1" fillId="0" fontId="1" numFmtId="165" xfId="0" applyBorder="1" applyFont="1" applyNumberFormat="1"/>
    <xf borderId="2" fillId="0" fontId="1" numFmtId="0" xfId="0" applyBorder="1" applyFont="1"/>
    <xf borderId="5" fillId="4" fontId="1" numFmtId="0" xfId="0" applyBorder="1" applyFont="1"/>
    <xf borderId="2" fillId="0" fontId="1" numFmtId="165" xfId="0" applyBorder="1" applyFont="1" applyNumberFormat="1"/>
    <xf borderId="1" fillId="4" fontId="2" numFmtId="165" xfId="0" applyBorder="1" applyFont="1" applyNumberFormat="1"/>
    <xf borderId="1" fillId="0" fontId="2" numFmtId="165" xfId="0" applyBorder="1" applyFont="1" applyNumberFormat="1"/>
    <xf borderId="6" fillId="2" fontId="3" numFmtId="0" xfId="0" applyAlignment="1" applyBorder="1" applyFont="1">
      <alignment horizontal="center"/>
    </xf>
    <xf borderId="7" fillId="2" fontId="3" numFmtId="164" xfId="0" applyAlignment="1" applyBorder="1" applyFont="1" applyNumberFormat="1">
      <alignment horizontal="center"/>
    </xf>
    <xf borderId="7" fillId="2" fontId="3" numFmtId="0" xfId="0" applyAlignment="1" applyBorder="1" applyFont="1">
      <alignment horizontal="center"/>
    </xf>
    <xf borderId="7" fillId="4" fontId="3" numFmtId="0" xfId="0" applyBorder="1" applyFont="1"/>
    <xf borderId="7" fillId="2" fontId="3" numFmtId="165" xfId="0" applyAlignment="1" applyBorder="1" applyFont="1" applyNumberFormat="1">
      <alignment horizontal="center"/>
    </xf>
    <xf borderId="1" fillId="4" fontId="4" numFmtId="165" xfId="0" applyBorder="1" applyFont="1" applyNumberFormat="1"/>
    <xf borderId="1" fillId="3" fontId="4" numFmtId="166" xfId="0" applyAlignment="1" applyBorder="1" applyFont="1" applyNumberForma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3.png"/><Relationship Id="rId3" Type="http://schemas.openxmlformats.org/officeDocument/2006/relationships/image" Target="../media/image8.png"/><Relationship Id="rId4" Type="http://schemas.openxmlformats.org/officeDocument/2006/relationships/image" Target="../media/image7.png"/><Relationship Id="rId5" Type="http://schemas.openxmlformats.org/officeDocument/2006/relationships/image" Target="../media/image6.png"/><Relationship Id="rId6" Type="http://schemas.openxmlformats.org/officeDocument/2006/relationships/image" Target="../media/image5.png"/><Relationship Id="rId7" Type="http://schemas.openxmlformats.org/officeDocument/2006/relationships/image" Target="../media/image1.png"/><Relationship Id="rId8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152400</xdr:colOff>
      <xdr:row>1</xdr:row>
      <xdr:rowOff>76200</xdr:rowOff>
    </xdr:from>
    <xdr:ext cx="9001125" cy="13649325"/>
    <xdr:sp>
      <xdr:nvSpPr>
        <xdr:cNvPr id="3" name="Shape 3"/>
        <xdr:cNvSpPr/>
      </xdr:nvSpPr>
      <xdr:spPr>
        <a:xfrm>
          <a:off x="850200" y="0"/>
          <a:ext cx="8991600" cy="7560000"/>
        </a:xfrm>
        <a:prstGeom prst="roundRect">
          <a:avLst>
            <a:gd fmla="val 2420" name="adj"/>
          </a:avLst>
        </a:prstGeom>
        <a:solidFill>
          <a:srgbClr val="D8D8D8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152400</xdr:colOff>
      <xdr:row>2</xdr:row>
      <xdr:rowOff>38100</xdr:rowOff>
    </xdr:from>
    <xdr:ext cx="8991600" cy="819150"/>
    <xdr:sp>
      <xdr:nvSpPr>
        <xdr:cNvPr id="4" name="Shape 4"/>
        <xdr:cNvSpPr/>
      </xdr:nvSpPr>
      <xdr:spPr>
        <a:xfrm flipH="1" rot="10800000">
          <a:off x="854963" y="3370425"/>
          <a:ext cx="8982075" cy="819150"/>
        </a:xfrm>
        <a:prstGeom prst="rtTriangle">
          <a:avLst/>
        </a:prstGeom>
        <a:solidFill>
          <a:srgbClr val="1F3864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152400</xdr:colOff>
      <xdr:row>0</xdr:row>
      <xdr:rowOff>114300</xdr:rowOff>
    </xdr:from>
    <xdr:ext cx="9001125" cy="238125"/>
    <xdr:sp>
      <xdr:nvSpPr>
        <xdr:cNvPr id="5" name="Shape 5"/>
        <xdr:cNvSpPr/>
      </xdr:nvSpPr>
      <xdr:spPr>
        <a:xfrm>
          <a:off x="850200" y="3665700"/>
          <a:ext cx="8991600" cy="228600"/>
        </a:xfrm>
        <a:prstGeom prst="roundRect">
          <a:avLst>
            <a:gd fmla="val 41346" name="adj"/>
          </a:avLst>
        </a:prstGeom>
        <a:solidFill>
          <a:srgbClr val="1F3864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152400</xdr:colOff>
      <xdr:row>1</xdr:row>
      <xdr:rowOff>47625</xdr:rowOff>
    </xdr:from>
    <xdr:ext cx="9229725" cy="180975"/>
    <xdr:sp>
      <xdr:nvSpPr>
        <xdr:cNvPr id="6" name="Shape 6"/>
        <xdr:cNvSpPr/>
      </xdr:nvSpPr>
      <xdr:spPr>
        <a:xfrm>
          <a:off x="735900" y="3689513"/>
          <a:ext cx="9220200" cy="180975"/>
        </a:xfrm>
        <a:prstGeom prst="rect">
          <a:avLst/>
        </a:prstGeom>
        <a:solidFill>
          <a:srgbClr val="1F3864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152400</xdr:colOff>
      <xdr:row>2</xdr:row>
      <xdr:rowOff>19050</xdr:rowOff>
    </xdr:from>
    <xdr:ext cx="8991600" cy="838200"/>
    <xdr:sp>
      <xdr:nvSpPr>
        <xdr:cNvPr id="7" name="Shape 7"/>
        <xdr:cNvSpPr/>
      </xdr:nvSpPr>
      <xdr:spPr>
        <a:xfrm flipH="1">
          <a:off x="854963" y="3360900"/>
          <a:ext cx="8982075" cy="838200"/>
        </a:xfrm>
        <a:prstGeom prst="rtTriangle">
          <a:avLst/>
        </a:prstGeom>
        <a:solidFill>
          <a:schemeClr val="lt1"/>
        </a:solidFill>
        <a:ln>
          <a:noFill/>
        </a:ln>
        <a:effectLst>
          <a:outerShdw blurRad="50800" rotWithShape="0" algn="t" dir="54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247650</xdr:colOff>
      <xdr:row>1</xdr:row>
      <xdr:rowOff>19050</xdr:rowOff>
    </xdr:from>
    <xdr:ext cx="4124325" cy="723900"/>
    <xdr:sp>
      <xdr:nvSpPr>
        <xdr:cNvPr id="8" name="Shape 8"/>
        <xdr:cNvSpPr txBox="1"/>
      </xdr:nvSpPr>
      <xdr:spPr>
        <a:xfrm>
          <a:off x="3288600" y="3422813"/>
          <a:ext cx="4114800" cy="71437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4400">
              <a:solidFill>
                <a:schemeClr val="lt1"/>
              </a:solidFill>
              <a:latin typeface="Fira Sans Extra Condensed"/>
              <a:ea typeface="Fira Sans Extra Condensed"/>
              <a:cs typeface="Fira Sans Extra Condensed"/>
              <a:sym typeface="Fira Sans Extra Condensed"/>
            </a:rPr>
            <a:t>ARQUEO DE CAJA</a:t>
          </a:r>
          <a:endParaRPr sz="1400"/>
        </a:p>
      </xdr:txBody>
    </xdr:sp>
    <xdr:clientData fLocksWithSheet="0"/>
  </xdr:oneCellAnchor>
  <xdr:oneCellAnchor>
    <xdr:from>
      <xdr:col>18</xdr:col>
      <xdr:colOff>0</xdr:colOff>
      <xdr:row>25</xdr:row>
      <xdr:rowOff>57150</xdr:rowOff>
    </xdr:from>
    <xdr:ext cx="904875" cy="180975"/>
    <xdr:sp>
      <xdr:nvSpPr>
        <xdr:cNvPr id="9" name="Shape 9"/>
        <xdr:cNvSpPr txBox="1"/>
      </xdr:nvSpPr>
      <xdr:spPr>
        <a:xfrm>
          <a:off x="4898325" y="3689513"/>
          <a:ext cx="895350" cy="180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400" u="none" strike="noStrike">
            <a:solidFill>
              <a:srgbClr val="000000"/>
            </a:solidFill>
            <a:latin typeface="Fira Sans Extra Condensed"/>
            <a:ea typeface="Fira Sans Extra Condensed"/>
            <a:cs typeface="Fira Sans Extra Condensed"/>
            <a:sym typeface="Fira Sans Extra Condensed"/>
          </a:endParaRPr>
        </a:p>
      </xdr:txBody>
    </xdr:sp>
    <xdr:clientData fLocksWithSheet="0"/>
  </xdr:oneCellAnchor>
  <xdr:oneCellAnchor>
    <xdr:from>
      <xdr:col>7</xdr:col>
      <xdr:colOff>714375</xdr:colOff>
      <xdr:row>7</xdr:row>
      <xdr:rowOff>133350</xdr:rowOff>
    </xdr:from>
    <xdr:ext cx="3133725" cy="1038225"/>
    <xdr:sp>
      <xdr:nvSpPr>
        <xdr:cNvPr id="10" name="Shape 10"/>
        <xdr:cNvSpPr/>
      </xdr:nvSpPr>
      <xdr:spPr>
        <a:xfrm>
          <a:off x="3783900" y="3265650"/>
          <a:ext cx="3124200" cy="1028700"/>
        </a:xfrm>
        <a:prstGeom prst="roundRect">
          <a:avLst>
            <a:gd fmla="val 7292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7</xdr:row>
      <xdr:rowOff>152400</xdr:rowOff>
    </xdr:from>
    <xdr:ext cx="1800225" cy="552450"/>
    <xdr:sp>
      <xdr:nvSpPr>
        <xdr:cNvPr id="11" name="Shape 11"/>
        <xdr:cNvSpPr/>
      </xdr:nvSpPr>
      <xdr:spPr>
        <a:xfrm>
          <a:off x="4450650" y="3508538"/>
          <a:ext cx="1790700" cy="542925"/>
        </a:xfrm>
        <a:prstGeom prst="roundRect">
          <a:avLst>
            <a:gd fmla="val 7292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14</xdr:row>
      <xdr:rowOff>104775</xdr:rowOff>
    </xdr:from>
    <xdr:ext cx="8867775" cy="11020425"/>
    <xdr:sp>
      <xdr:nvSpPr>
        <xdr:cNvPr id="12" name="Shape 12"/>
        <xdr:cNvSpPr/>
      </xdr:nvSpPr>
      <xdr:spPr>
        <a:xfrm>
          <a:off x="916875" y="0"/>
          <a:ext cx="8858250" cy="7560000"/>
        </a:xfrm>
        <a:prstGeom prst="roundRect">
          <a:avLst>
            <a:gd fmla="val 1482" name="adj"/>
          </a:avLst>
        </a:prstGeom>
        <a:solidFill>
          <a:schemeClr val="lt1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409575</xdr:colOff>
      <xdr:row>25</xdr:row>
      <xdr:rowOff>85725</xdr:rowOff>
    </xdr:from>
    <xdr:ext cx="1085850" cy="361950"/>
    <xdr:sp>
      <xdr:nvSpPr>
        <xdr:cNvPr id="13" name="Shape 13"/>
        <xdr:cNvSpPr txBox="1"/>
      </xdr:nvSpPr>
      <xdr:spPr>
        <a:xfrm>
          <a:off x="4807838" y="3603788"/>
          <a:ext cx="107632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10</xdr:col>
      <xdr:colOff>600075</xdr:colOff>
      <xdr:row>25</xdr:row>
      <xdr:rowOff>85725</xdr:rowOff>
    </xdr:from>
    <xdr:ext cx="952500" cy="361950"/>
    <xdr:sp>
      <xdr:nvSpPr>
        <xdr:cNvPr id="14" name="Shape 14"/>
        <xdr:cNvSpPr txBox="1"/>
      </xdr:nvSpPr>
      <xdr:spPr>
        <a:xfrm>
          <a:off x="4874513" y="3603788"/>
          <a:ext cx="94297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9</xdr:row>
      <xdr:rowOff>57150</xdr:rowOff>
    </xdr:from>
    <xdr:ext cx="1800225" cy="285750"/>
    <xdr:sp>
      <xdr:nvSpPr>
        <xdr:cNvPr id="15" name="Shape 15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chemeClr val="dk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7</xdr:col>
      <xdr:colOff>714375</xdr:colOff>
      <xdr:row>10</xdr:row>
      <xdr:rowOff>104775</xdr:rowOff>
    </xdr:from>
    <xdr:ext cx="3133725" cy="523875"/>
    <xdr:sp>
      <xdr:nvSpPr>
        <xdr:cNvPr id="16" name="Shape 16"/>
        <xdr:cNvSpPr txBox="1"/>
      </xdr:nvSpPr>
      <xdr:spPr>
        <a:xfrm>
          <a:off x="3783900" y="3522825"/>
          <a:ext cx="3124200" cy="5143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2400" u="none" strike="noStrike">
            <a:solidFill>
              <a:schemeClr val="dk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18</xdr:col>
      <xdr:colOff>9525</xdr:colOff>
      <xdr:row>31</xdr:row>
      <xdr:rowOff>9525</xdr:rowOff>
    </xdr:from>
    <xdr:ext cx="904875" cy="180975"/>
    <xdr:sp>
      <xdr:nvSpPr>
        <xdr:cNvPr id="17" name="Shape 17"/>
        <xdr:cNvSpPr txBox="1"/>
      </xdr:nvSpPr>
      <xdr:spPr>
        <a:xfrm>
          <a:off x="4898325" y="3689513"/>
          <a:ext cx="895350" cy="180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400" u="none" strike="noStrike">
            <a:solidFill>
              <a:srgbClr val="000000"/>
            </a:solidFill>
            <a:latin typeface="Fira Sans Extra Condensed"/>
            <a:ea typeface="Fira Sans Extra Condensed"/>
            <a:cs typeface="Fira Sans Extra Condensed"/>
            <a:sym typeface="Fira Sans Extra Condensed"/>
          </a:endParaRPr>
        </a:p>
      </xdr:txBody>
    </xdr:sp>
    <xdr:clientData fLocksWithSheet="0"/>
  </xdr:oneCellAnchor>
  <xdr:oneCellAnchor>
    <xdr:from>
      <xdr:col>17</xdr:col>
      <xdr:colOff>752475</xdr:colOff>
      <xdr:row>37</xdr:row>
      <xdr:rowOff>57150</xdr:rowOff>
    </xdr:from>
    <xdr:ext cx="904875" cy="180975"/>
    <xdr:sp>
      <xdr:nvSpPr>
        <xdr:cNvPr id="18" name="Shape 18"/>
        <xdr:cNvSpPr txBox="1"/>
      </xdr:nvSpPr>
      <xdr:spPr>
        <a:xfrm>
          <a:off x="4898325" y="3689513"/>
          <a:ext cx="895350" cy="180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400" u="none" strike="noStrike">
            <a:solidFill>
              <a:srgbClr val="000000"/>
            </a:solidFill>
            <a:latin typeface="Fira Sans Extra Condensed"/>
            <a:ea typeface="Fira Sans Extra Condensed"/>
            <a:cs typeface="Fira Sans Extra Condensed"/>
            <a:sym typeface="Fira Sans Extra Condensed"/>
          </a:endParaRPr>
        </a:p>
      </xdr:txBody>
    </xdr:sp>
    <xdr:clientData fLocksWithSheet="0"/>
  </xdr:oneCellAnchor>
  <xdr:oneCellAnchor>
    <xdr:from>
      <xdr:col>18</xdr:col>
      <xdr:colOff>19050</xdr:colOff>
      <xdr:row>44</xdr:row>
      <xdr:rowOff>47625</xdr:rowOff>
    </xdr:from>
    <xdr:ext cx="904875" cy="180975"/>
    <xdr:sp>
      <xdr:nvSpPr>
        <xdr:cNvPr id="19" name="Shape 19"/>
        <xdr:cNvSpPr txBox="1"/>
      </xdr:nvSpPr>
      <xdr:spPr>
        <a:xfrm>
          <a:off x="4898325" y="3689513"/>
          <a:ext cx="895350" cy="180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400" u="none" strike="noStrike">
            <a:solidFill>
              <a:srgbClr val="000000"/>
            </a:solidFill>
            <a:latin typeface="Fira Sans Extra Condensed"/>
            <a:ea typeface="Fira Sans Extra Condensed"/>
            <a:cs typeface="Fira Sans Extra Condensed"/>
            <a:sym typeface="Fira Sans Extra Condensed"/>
          </a:endParaRPr>
        </a:p>
      </xdr:txBody>
    </xdr:sp>
    <xdr:clientData fLocksWithSheet="0"/>
  </xdr:oneCellAnchor>
  <xdr:oneCellAnchor>
    <xdr:from>
      <xdr:col>7</xdr:col>
      <xdr:colOff>9525</xdr:colOff>
      <xdr:row>58</xdr:row>
      <xdr:rowOff>114300</xdr:rowOff>
    </xdr:from>
    <xdr:ext cx="914400" cy="180975"/>
    <xdr:sp>
      <xdr:nvSpPr>
        <xdr:cNvPr id="20" name="Shape 20"/>
        <xdr:cNvSpPr txBox="1"/>
      </xdr:nvSpPr>
      <xdr:spPr>
        <a:xfrm>
          <a:off x="4893563" y="3689513"/>
          <a:ext cx="904875" cy="180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400" u="none" strike="noStrike">
            <a:solidFill>
              <a:srgbClr val="000000"/>
            </a:solidFill>
            <a:latin typeface="Fira Sans Extra Condensed"/>
            <a:ea typeface="Fira Sans Extra Condensed"/>
            <a:cs typeface="Fira Sans Extra Condensed"/>
            <a:sym typeface="Fira Sans Extra Condensed"/>
          </a:endParaRPr>
        </a:p>
      </xdr:txBody>
    </xdr:sp>
    <xdr:clientData fLocksWithSheet="0"/>
  </xdr:oneCellAnchor>
  <xdr:oneCellAnchor>
    <xdr:from>
      <xdr:col>0</xdr:col>
      <xdr:colOff>314325</xdr:colOff>
      <xdr:row>25</xdr:row>
      <xdr:rowOff>85725</xdr:rowOff>
    </xdr:from>
    <xdr:ext cx="1085850" cy="361950"/>
    <xdr:sp>
      <xdr:nvSpPr>
        <xdr:cNvPr id="21" name="Shape 21"/>
        <xdr:cNvSpPr txBox="1"/>
      </xdr:nvSpPr>
      <xdr:spPr>
        <a:xfrm>
          <a:off x="4807838" y="3603788"/>
          <a:ext cx="107632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685800</xdr:colOff>
      <xdr:row>25</xdr:row>
      <xdr:rowOff>85725</xdr:rowOff>
    </xdr:from>
    <xdr:ext cx="1095375" cy="361950"/>
    <xdr:sp>
      <xdr:nvSpPr>
        <xdr:cNvPr id="22" name="Shape 22"/>
        <xdr:cNvSpPr txBox="1"/>
      </xdr:nvSpPr>
      <xdr:spPr>
        <a:xfrm>
          <a:off x="4803075" y="3603788"/>
          <a:ext cx="1085850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7</xdr:col>
      <xdr:colOff>714375</xdr:colOff>
      <xdr:row>7</xdr:row>
      <xdr:rowOff>133350</xdr:rowOff>
    </xdr:from>
    <xdr:ext cx="3124200" cy="523875"/>
    <xdr:sp>
      <xdr:nvSpPr>
        <xdr:cNvPr id="23" name="Shape 23"/>
        <xdr:cNvSpPr txBox="1"/>
      </xdr:nvSpPr>
      <xdr:spPr>
        <a:xfrm>
          <a:off x="3788663" y="3522825"/>
          <a:ext cx="3114675" cy="5143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2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TOTAL VENTAS</a:t>
          </a:r>
          <a:endParaRPr sz="1400"/>
        </a:p>
      </xdr:txBody>
    </xdr:sp>
    <xdr:clientData fLocksWithSheet="0"/>
  </xdr:oneCellAnchor>
  <xdr:oneCellAnchor>
    <xdr:from>
      <xdr:col>0</xdr:col>
      <xdr:colOff>314325</xdr:colOff>
      <xdr:row>7</xdr:row>
      <xdr:rowOff>152400</xdr:rowOff>
    </xdr:from>
    <xdr:ext cx="1800225" cy="285750"/>
    <xdr:sp>
      <xdr:nvSpPr>
        <xdr:cNvPr id="24" name="Shape 24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20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FECHA</a:t>
          </a:r>
          <a:endParaRPr sz="1400"/>
        </a:p>
      </xdr:txBody>
    </xdr:sp>
    <xdr:clientData fLocksWithSheet="0"/>
  </xdr:oneCellAnchor>
  <xdr:oneCellAnchor>
    <xdr:from>
      <xdr:col>0</xdr:col>
      <xdr:colOff>323850</xdr:colOff>
      <xdr:row>14</xdr:row>
      <xdr:rowOff>95250</xdr:rowOff>
    </xdr:from>
    <xdr:ext cx="8848725" cy="352425"/>
    <xdr:sp>
      <xdr:nvSpPr>
        <xdr:cNvPr id="25" name="Shape 25"/>
        <xdr:cNvSpPr/>
      </xdr:nvSpPr>
      <xdr:spPr>
        <a:xfrm>
          <a:off x="926400" y="3608550"/>
          <a:ext cx="8839200" cy="3429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33</xdr:row>
      <xdr:rowOff>0</xdr:rowOff>
    </xdr:from>
    <xdr:ext cx="8867775" cy="352425"/>
    <xdr:sp>
      <xdr:nvSpPr>
        <xdr:cNvPr id="26" name="Shape 26"/>
        <xdr:cNvSpPr/>
      </xdr:nvSpPr>
      <xdr:spPr>
        <a:xfrm>
          <a:off x="916875" y="3608550"/>
          <a:ext cx="8858250" cy="342900"/>
        </a:xfrm>
        <a:prstGeom prst="roundRect">
          <a:avLst>
            <a:gd fmla="val 0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37</xdr:row>
      <xdr:rowOff>38100</xdr:rowOff>
    </xdr:from>
    <xdr:ext cx="8867775" cy="209550"/>
    <xdr:sp>
      <xdr:nvSpPr>
        <xdr:cNvPr id="27" name="Shape 27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37</xdr:row>
      <xdr:rowOff>38100</xdr:rowOff>
    </xdr:from>
    <xdr:ext cx="8848725" cy="209550"/>
    <xdr:sp>
      <xdr:nvSpPr>
        <xdr:cNvPr id="28" name="Shape 28"/>
        <xdr:cNvSpPr txBox="1"/>
      </xdr:nvSpPr>
      <xdr:spPr>
        <a:xfrm>
          <a:off x="926400" y="3679988"/>
          <a:ext cx="8839200" cy="2000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MercadoPago Real               Real No Conciliado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         MercadoPago Sistema        Sistema No Conciliado         Diferencia                      %</a:t>
          </a:r>
          <a:endParaRPr sz="1400"/>
        </a:p>
      </xdr:txBody>
    </xdr:sp>
    <xdr:clientData fLocksWithSheet="0"/>
  </xdr:oneCellAnchor>
  <xdr:oneCellAnchor>
    <xdr:from>
      <xdr:col>4</xdr:col>
      <xdr:colOff>600075</xdr:colOff>
      <xdr:row>38</xdr:row>
      <xdr:rowOff>85725</xdr:rowOff>
    </xdr:from>
    <xdr:ext cx="1409700" cy="419100"/>
    <xdr:sp>
      <xdr:nvSpPr>
        <xdr:cNvPr id="29" name="Shape 29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457200</xdr:colOff>
      <xdr:row>38</xdr:row>
      <xdr:rowOff>85725</xdr:rowOff>
    </xdr:from>
    <xdr:ext cx="1409700" cy="419100"/>
    <xdr:sp>
      <xdr:nvSpPr>
        <xdr:cNvPr id="30" name="Shape 30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6</xdr:col>
      <xdr:colOff>742950</xdr:colOff>
      <xdr:row>38</xdr:row>
      <xdr:rowOff>85725</xdr:rowOff>
    </xdr:from>
    <xdr:ext cx="1409700" cy="419100"/>
    <xdr:sp>
      <xdr:nvSpPr>
        <xdr:cNvPr id="31" name="Shape 31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14</xdr:row>
      <xdr:rowOff>104775</xdr:rowOff>
    </xdr:from>
    <xdr:ext cx="8848725" cy="352425"/>
    <xdr:sp>
      <xdr:nvSpPr>
        <xdr:cNvPr id="32" name="Shape 32"/>
        <xdr:cNvSpPr txBox="1"/>
      </xdr:nvSpPr>
      <xdr:spPr>
        <a:xfrm>
          <a:off x="926400" y="3608550"/>
          <a:ext cx="8839200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2400" u="none" strike="noStrike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PARADOR</a:t>
          </a:r>
          <a:endParaRPr sz="1400"/>
        </a:p>
      </xdr:txBody>
    </xdr:sp>
    <xdr:clientData fLocksWithSheet="0"/>
  </xdr:oneCellAnchor>
  <xdr:oneCellAnchor>
    <xdr:from>
      <xdr:col>6</xdr:col>
      <xdr:colOff>381000</xdr:colOff>
      <xdr:row>19</xdr:row>
      <xdr:rowOff>19050</xdr:rowOff>
    </xdr:from>
    <xdr:ext cx="1990725" cy="647700"/>
    <xdr:sp>
      <xdr:nvSpPr>
        <xdr:cNvPr id="33" name="Shape 33"/>
        <xdr:cNvSpPr/>
      </xdr:nvSpPr>
      <xdr:spPr>
        <a:xfrm>
          <a:off x="4355400" y="3460913"/>
          <a:ext cx="1981200" cy="638175"/>
        </a:xfrm>
        <a:prstGeom prst="roundRect">
          <a:avLst>
            <a:gd fmla="val 6093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400050</xdr:colOff>
      <xdr:row>17</xdr:row>
      <xdr:rowOff>114300</xdr:rowOff>
    </xdr:from>
    <xdr:ext cx="1990725" cy="590550"/>
    <xdr:sp>
      <xdr:nvSpPr>
        <xdr:cNvPr id="34" name="Shape 34"/>
        <xdr:cNvSpPr/>
      </xdr:nvSpPr>
      <xdr:spPr>
        <a:xfrm>
          <a:off x="4355400" y="3489488"/>
          <a:ext cx="1981200" cy="581025"/>
        </a:xfrm>
        <a:prstGeom prst="roundRect">
          <a:avLst>
            <a:gd fmla="val 15285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152400</xdr:colOff>
      <xdr:row>17</xdr:row>
      <xdr:rowOff>123825</xdr:rowOff>
    </xdr:from>
    <xdr:ext cx="1466850" cy="600075"/>
    <xdr:sp>
      <xdr:nvSpPr>
        <xdr:cNvPr id="35" name="Shape 35"/>
        <xdr:cNvSpPr txBox="1"/>
      </xdr:nvSpPr>
      <xdr:spPr>
        <a:xfrm>
          <a:off x="4617338" y="3484725"/>
          <a:ext cx="1457325" cy="5905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CANTIDAD</a:t>
          </a: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 DE COMENSALES</a:t>
          </a:r>
          <a:endParaRPr b="1" i="0" sz="16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9</xdr:col>
      <xdr:colOff>390525</xdr:colOff>
      <xdr:row>21</xdr:row>
      <xdr:rowOff>114300</xdr:rowOff>
    </xdr:from>
    <xdr:ext cx="1905000" cy="352425"/>
    <xdr:sp>
      <xdr:nvSpPr>
        <xdr:cNvPr id="36" name="Shape 36"/>
        <xdr:cNvSpPr txBox="1"/>
      </xdr:nvSpPr>
      <xdr:spPr>
        <a:xfrm>
          <a:off x="4393500" y="3608550"/>
          <a:ext cx="1905000" cy="3429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COMENSALES  PROMEDIO</a:t>
          </a:r>
          <a:endParaRPr sz="1400"/>
        </a:p>
      </xdr:txBody>
    </xdr:sp>
    <xdr:clientData fLocksWithSheet="0"/>
  </xdr:oneCellAnchor>
  <xdr:oneCellAnchor>
    <xdr:from>
      <xdr:col>6</xdr:col>
      <xdr:colOff>485775</xdr:colOff>
      <xdr:row>20</xdr:row>
      <xdr:rowOff>161925</xdr:rowOff>
    </xdr:from>
    <xdr:ext cx="1809750" cy="323850"/>
    <xdr:sp>
      <xdr:nvSpPr>
        <xdr:cNvPr id="37" name="Shape 37"/>
        <xdr:cNvSpPr txBox="1"/>
      </xdr:nvSpPr>
      <xdr:spPr>
        <a:xfrm>
          <a:off x="4445888" y="3622838"/>
          <a:ext cx="180022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8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9</xdr:col>
      <xdr:colOff>381000</xdr:colOff>
      <xdr:row>19</xdr:row>
      <xdr:rowOff>9525</xdr:rowOff>
    </xdr:from>
    <xdr:ext cx="1847850" cy="647700"/>
    <xdr:sp>
      <xdr:nvSpPr>
        <xdr:cNvPr id="38" name="Shape 38"/>
        <xdr:cNvSpPr/>
      </xdr:nvSpPr>
      <xdr:spPr>
        <a:xfrm>
          <a:off x="4426838" y="3460913"/>
          <a:ext cx="1838325" cy="638175"/>
        </a:xfrm>
        <a:prstGeom prst="roundRect">
          <a:avLst>
            <a:gd fmla="val 6093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9</xdr:col>
      <xdr:colOff>400050</xdr:colOff>
      <xdr:row>17</xdr:row>
      <xdr:rowOff>114300</xdr:rowOff>
    </xdr:from>
    <xdr:ext cx="1847850" cy="590550"/>
    <xdr:sp>
      <xdr:nvSpPr>
        <xdr:cNvPr id="39" name="Shape 39"/>
        <xdr:cNvSpPr/>
      </xdr:nvSpPr>
      <xdr:spPr>
        <a:xfrm>
          <a:off x="4426838" y="3489488"/>
          <a:ext cx="1838325" cy="581025"/>
        </a:xfrm>
        <a:prstGeom prst="roundRect">
          <a:avLst>
            <a:gd fmla="val 15285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10</xdr:col>
      <xdr:colOff>123825</xdr:colOff>
      <xdr:row>17</xdr:row>
      <xdr:rowOff>114300</xdr:rowOff>
    </xdr:from>
    <xdr:ext cx="1333500" cy="600075"/>
    <xdr:sp>
      <xdr:nvSpPr>
        <xdr:cNvPr id="40" name="Shape 40"/>
        <xdr:cNvSpPr txBox="1"/>
      </xdr:nvSpPr>
      <xdr:spPr>
        <a:xfrm>
          <a:off x="4684013" y="3484725"/>
          <a:ext cx="1323975" cy="5905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COMENSALES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PROMEDIO</a:t>
          </a:r>
          <a:endParaRPr sz="1400"/>
        </a:p>
      </xdr:txBody>
    </xdr:sp>
    <xdr:clientData fLocksWithSheet="0"/>
  </xdr:oneCellAnchor>
  <xdr:oneCellAnchor>
    <xdr:from>
      <xdr:col>9</xdr:col>
      <xdr:colOff>485775</xdr:colOff>
      <xdr:row>20</xdr:row>
      <xdr:rowOff>161925</xdr:rowOff>
    </xdr:from>
    <xdr:ext cx="1666875" cy="323850"/>
    <xdr:sp>
      <xdr:nvSpPr>
        <xdr:cNvPr id="41" name="Shape 41"/>
        <xdr:cNvSpPr txBox="1"/>
      </xdr:nvSpPr>
      <xdr:spPr>
        <a:xfrm>
          <a:off x="4517325" y="3622838"/>
          <a:ext cx="1657350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8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390525</xdr:colOff>
      <xdr:row>19</xdr:row>
      <xdr:rowOff>0</xdr:rowOff>
    </xdr:from>
    <xdr:ext cx="1990725" cy="647700"/>
    <xdr:sp>
      <xdr:nvSpPr>
        <xdr:cNvPr id="33" name="Shape 33"/>
        <xdr:cNvSpPr/>
      </xdr:nvSpPr>
      <xdr:spPr>
        <a:xfrm>
          <a:off x="4355400" y="3460913"/>
          <a:ext cx="1981200" cy="638175"/>
        </a:xfrm>
        <a:prstGeom prst="roundRect">
          <a:avLst>
            <a:gd fmla="val 6093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400050</xdr:colOff>
      <xdr:row>17</xdr:row>
      <xdr:rowOff>104775</xdr:rowOff>
    </xdr:from>
    <xdr:ext cx="1990725" cy="590550"/>
    <xdr:sp>
      <xdr:nvSpPr>
        <xdr:cNvPr id="34" name="Shape 34"/>
        <xdr:cNvSpPr/>
      </xdr:nvSpPr>
      <xdr:spPr>
        <a:xfrm>
          <a:off x="4355400" y="3489488"/>
          <a:ext cx="1981200" cy="581025"/>
        </a:xfrm>
        <a:prstGeom prst="roundRect">
          <a:avLst>
            <a:gd fmla="val 15285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133350</xdr:colOff>
      <xdr:row>17</xdr:row>
      <xdr:rowOff>104775</xdr:rowOff>
    </xdr:from>
    <xdr:ext cx="1466850" cy="571500"/>
    <xdr:sp>
      <xdr:nvSpPr>
        <xdr:cNvPr id="42" name="Shape 42"/>
        <xdr:cNvSpPr txBox="1"/>
      </xdr:nvSpPr>
      <xdr:spPr>
        <a:xfrm>
          <a:off x="4617338" y="3499013"/>
          <a:ext cx="1457325" cy="56197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CANTIDAD</a:t>
          </a: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 DE TICKETS</a:t>
          </a:r>
          <a:endParaRPr b="1" i="0" sz="16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485775</xdr:colOff>
      <xdr:row>20</xdr:row>
      <xdr:rowOff>152400</xdr:rowOff>
    </xdr:from>
    <xdr:ext cx="1809750" cy="323850"/>
    <xdr:sp>
      <xdr:nvSpPr>
        <xdr:cNvPr id="43" name="Shape 43"/>
        <xdr:cNvSpPr txBox="1"/>
      </xdr:nvSpPr>
      <xdr:spPr>
        <a:xfrm>
          <a:off x="4445888" y="3622838"/>
          <a:ext cx="180022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8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381000</xdr:colOff>
      <xdr:row>19</xdr:row>
      <xdr:rowOff>0</xdr:rowOff>
    </xdr:from>
    <xdr:ext cx="1990725" cy="647700"/>
    <xdr:sp>
      <xdr:nvSpPr>
        <xdr:cNvPr id="33" name="Shape 33"/>
        <xdr:cNvSpPr/>
      </xdr:nvSpPr>
      <xdr:spPr>
        <a:xfrm>
          <a:off x="4355400" y="3460913"/>
          <a:ext cx="1981200" cy="638175"/>
        </a:xfrm>
        <a:prstGeom prst="roundRect">
          <a:avLst>
            <a:gd fmla="val 6093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400050</xdr:colOff>
      <xdr:row>17</xdr:row>
      <xdr:rowOff>95250</xdr:rowOff>
    </xdr:from>
    <xdr:ext cx="1990725" cy="590550"/>
    <xdr:sp>
      <xdr:nvSpPr>
        <xdr:cNvPr id="44" name="Shape 44"/>
        <xdr:cNvSpPr/>
      </xdr:nvSpPr>
      <xdr:spPr>
        <a:xfrm>
          <a:off x="4355400" y="3489488"/>
          <a:ext cx="1981200" cy="581025"/>
        </a:xfrm>
        <a:prstGeom prst="roundRect">
          <a:avLst>
            <a:gd fmla="val 15285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142875</xdr:colOff>
      <xdr:row>17</xdr:row>
      <xdr:rowOff>104775</xdr:rowOff>
    </xdr:from>
    <xdr:ext cx="1476375" cy="600075"/>
    <xdr:sp>
      <xdr:nvSpPr>
        <xdr:cNvPr id="45" name="Shape 45"/>
        <xdr:cNvSpPr txBox="1"/>
      </xdr:nvSpPr>
      <xdr:spPr>
        <a:xfrm>
          <a:off x="4612575" y="3484725"/>
          <a:ext cx="1466850" cy="5905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TICKE</a:t>
          </a: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T 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6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PROMEDIO</a:t>
          </a:r>
          <a:endParaRPr sz="1400"/>
        </a:p>
      </xdr:txBody>
    </xdr:sp>
    <xdr:clientData fLocksWithSheet="0"/>
  </xdr:oneCellAnchor>
  <xdr:oneCellAnchor>
    <xdr:from>
      <xdr:col>3</xdr:col>
      <xdr:colOff>466725</xdr:colOff>
      <xdr:row>20</xdr:row>
      <xdr:rowOff>152400</xdr:rowOff>
    </xdr:from>
    <xdr:ext cx="1800225" cy="323850"/>
    <xdr:sp>
      <xdr:nvSpPr>
        <xdr:cNvPr id="46" name="Shape 46"/>
        <xdr:cNvSpPr txBox="1"/>
      </xdr:nvSpPr>
      <xdr:spPr>
        <a:xfrm>
          <a:off x="4450650" y="3622838"/>
          <a:ext cx="1790700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8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23</xdr:row>
      <xdr:rowOff>95250</xdr:rowOff>
    </xdr:from>
    <xdr:ext cx="8867775" cy="352425"/>
    <xdr:sp>
      <xdr:nvSpPr>
        <xdr:cNvPr id="26" name="Shape 26"/>
        <xdr:cNvSpPr/>
      </xdr:nvSpPr>
      <xdr:spPr>
        <a:xfrm>
          <a:off x="916875" y="3608550"/>
          <a:ext cx="8858250" cy="342900"/>
        </a:xfrm>
        <a:prstGeom prst="roundRect">
          <a:avLst>
            <a:gd fmla="val 0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323850</xdr:colOff>
      <xdr:row>56</xdr:row>
      <xdr:rowOff>85725</xdr:rowOff>
    </xdr:from>
    <xdr:ext cx="8867775" cy="361950"/>
    <xdr:sp>
      <xdr:nvSpPr>
        <xdr:cNvPr id="47" name="Shape 47"/>
        <xdr:cNvSpPr/>
      </xdr:nvSpPr>
      <xdr:spPr>
        <a:xfrm>
          <a:off x="916875" y="3603788"/>
          <a:ext cx="8858250" cy="352425"/>
        </a:xfrm>
        <a:prstGeom prst="roundRect">
          <a:avLst>
            <a:gd fmla="val 0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485775</xdr:colOff>
      <xdr:row>56</xdr:row>
      <xdr:rowOff>85725</xdr:rowOff>
    </xdr:from>
    <xdr:ext cx="5829300" cy="361950"/>
    <xdr:sp>
      <xdr:nvSpPr>
        <xdr:cNvPr id="48" name="Shape 48"/>
        <xdr:cNvSpPr txBox="1"/>
      </xdr:nvSpPr>
      <xdr:spPr>
        <a:xfrm>
          <a:off x="2436113" y="3603788"/>
          <a:ext cx="581977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8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TOTAL DE VENTAS</a:t>
          </a:r>
          <a:r>
            <a:rPr b="1" i="0" lang="en-US" sz="18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 POR HORA</a:t>
          </a:r>
          <a:endParaRPr b="1" i="0" sz="18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323850</xdr:colOff>
      <xdr:row>33</xdr:row>
      <xdr:rowOff>0</xdr:rowOff>
    </xdr:from>
    <xdr:ext cx="8848725" cy="352425"/>
    <xdr:sp>
      <xdr:nvSpPr>
        <xdr:cNvPr id="49" name="Shape 49"/>
        <xdr:cNvSpPr txBox="1"/>
      </xdr:nvSpPr>
      <xdr:spPr>
        <a:xfrm>
          <a:off x="926400" y="3608550"/>
          <a:ext cx="8839200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8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DIFERENCIAS DE CAJA</a:t>
          </a:r>
          <a:endParaRPr sz="1400"/>
        </a:p>
      </xdr:txBody>
    </xdr:sp>
    <xdr:clientData fLocksWithSheet="0"/>
  </xdr:oneCellAnchor>
  <xdr:oneCellAnchor>
    <xdr:from>
      <xdr:col>0</xdr:col>
      <xdr:colOff>314325</xdr:colOff>
      <xdr:row>23</xdr:row>
      <xdr:rowOff>85725</xdr:rowOff>
    </xdr:from>
    <xdr:ext cx="8848725" cy="361950"/>
    <xdr:sp>
      <xdr:nvSpPr>
        <xdr:cNvPr id="50" name="Shape 50"/>
        <xdr:cNvSpPr txBox="1"/>
      </xdr:nvSpPr>
      <xdr:spPr>
        <a:xfrm>
          <a:off x="926400" y="3603788"/>
          <a:ext cx="8839200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8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HORARIOS</a:t>
          </a:r>
          <a:r>
            <a:rPr b="1" i="0" lang="en-US" sz="18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 DE VENTA</a:t>
          </a:r>
          <a:endParaRPr b="1" i="0" sz="18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733425</xdr:colOff>
      <xdr:row>29</xdr:row>
      <xdr:rowOff>142875</xdr:rowOff>
    </xdr:from>
    <xdr:ext cx="8058150" cy="38100"/>
    <xdr:grpSp>
      <xdr:nvGrpSpPr>
        <xdr:cNvPr id="2" name="Shape 2"/>
        <xdr:cNvGrpSpPr/>
      </xdr:nvGrpSpPr>
      <xdr:grpSpPr>
        <a:xfrm>
          <a:off x="1316925" y="3780000"/>
          <a:ext cx="8058300" cy="0"/>
          <a:chOff x="1316925" y="3780000"/>
          <a:chExt cx="8058300" cy="0"/>
        </a:xfrm>
      </xdr:grpSpPr>
      <xdr:cxnSp>
        <xdr:nvCxnSpPr>
          <xdr:cNvPr id="51" name="Shape 51"/>
          <xdr:cNvCxnSpPr>
            <a:stCxn id="52" idx="3"/>
            <a:endCxn id="53" idx="1"/>
          </xdr:cNvCxnSpPr>
        </xdr:nvCxnSpPr>
        <xdr:spPr>
          <a:xfrm>
            <a:off x="1316925" y="3780000"/>
            <a:ext cx="8058300" cy="0"/>
          </a:xfrm>
          <a:prstGeom prst="straightConnector1">
            <a:avLst/>
          </a:prstGeom>
          <a:noFill/>
          <a:ln cap="flat" cmpd="sng" w="19050">
            <a:solidFill>
              <a:schemeClr val="dk1"/>
            </a:solidFill>
            <a:prstDash val="dash"/>
            <a:round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5</xdr:col>
      <xdr:colOff>542925</xdr:colOff>
      <xdr:row>29</xdr:row>
      <xdr:rowOff>123825</xdr:rowOff>
    </xdr:from>
    <xdr:ext cx="1085850" cy="361950"/>
    <xdr:sp>
      <xdr:nvSpPr>
        <xdr:cNvPr id="54" name="Shape 54"/>
        <xdr:cNvSpPr txBox="1"/>
      </xdr:nvSpPr>
      <xdr:spPr>
        <a:xfrm>
          <a:off x="4807838" y="3603788"/>
          <a:ext cx="107632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38</xdr:row>
      <xdr:rowOff>85725</xdr:rowOff>
    </xdr:from>
    <xdr:ext cx="1409700" cy="419100"/>
    <xdr:sp>
      <xdr:nvSpPr>
        <xdr:cNvPr id="55" name="Shape 55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4</xdr:col>
      <xdr:colOff>28575</xdr:colOff>
      <xdr:row>27</xdr:row>
      <xdr:rowOff>76200</xdr:rowOff>
    </xdr:from>
    <xdr:ext cx="866775" cy="219075"/>
    <xdr:sp>
      <xdr:nvSpPr>
        <xdr:cNvPr id="56" name="Shape 56"/>
        <xdr:cNvSpPr txBox="1"/>
      </xdr:nvSpPr>
      <xdr:spPr>
        <a:xfrm>
          <a:off x="4917375" y="3675225"/>
          <a:ext cx="857250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PRIMER VENTA</a:t>
          </a:r>
          <a:endParaRPr sz="1400"/>
        </a:p>
      </xdr:txBody>
    </xdr:sp>
    <xdr:clientData fLocksWithSheet="0"/>
  </xdr:oneCellAnchor>
  <xdr:oneCellAnchor>
    <xdr:from>
      <xdr:col>7</xdr:col>
      <xdr:colOff>514350</xdr:colOff>
      <xdr:row>27</xdr:row>
      <xdr:rowOff>76200</xdr:rowOff>
    </xdr:from>
    <xdr:ext cx="876300" cy="219075"/>
    <xdr:sp>
      <xdr:nvSpPr>
        <xdr:cNvPr id="57" name="Shape 57"/>
        <xdr:cNvSpPr txBox="1"/>
      </xdr:nvSpPr>
      <xdr:spPr>
        <a:xfrm>
          <a:off x="4912613" y="3675225"/>
          <a:ext cx="866775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ÚLTIMA VENTA</a:t>
          </a:r>
          <a:endParaRPr sz="1400"/>
        </a:p>
      </xdr:txBody>
    </xdr:sp>
    <xdr:clientData fLocksWithSheet="0"/>
  </xdr:oneCellAnchor>
  <xdr:oneCellAnchor>
    <xdr:from>
      <xdr:col>0</xdr:col>
      <xdr:colOff>476250</xdr:colOff>
      <xdr:row>27</xdr:row>
      <xdr:rowOff>66675</xdr:rowOff>
    </xdr:from>
    <xdr:ext cx="695325" cy="219075"/>
    <xdr:sp>
      <xdr:nvSpPr>
        <xdr:cNvPr id="58" name="Shape 58"/>
        <xdr:cNvSpPr txBox="1"/>
      </xdr:nvSpPr>
      <xdr:spPr>
        <a:xfrm>
          <a:off x="5003100" y="3675225"/>
          <a:ext cx="685800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APERTURA</a:t>
          </a:r>
          <a:endParaRPr sz="1400"/>
        </a:p>
      </xdr:txBody>
    </xdr:sp>
    <xdr:clientData fLocksWithSheet="0"/>
  </xdr:oneCellAnchor>
  <xdr:oneCellAnchor>
    <xdr:from>
      <xdr:col>5</xdr:col>
      <xdr:colOff>381000</xdr:colOff>
      <xdr:row>31</xdr:row>
      <xdr:rowOff>28575</xdr:rowOff>
    </xdr:from>
    <xdr:ext cx="1400175" cy="219075"/>
    <xdr:sp>
      <xdr:nvSpPr>
        <xdr:cNvPr id="59" name="Shape 59"/>
        <xdr:cNvSpPr txBox="1"/>
      </xdr:nvSpPr>
      <xdr:spPr>
        <a:xfrm>
          <a:off x="4650675" y="3675225"/>
          <a:ext cx="1390650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DURACIÓN DE LA JORNADA</a:t>
          </a:r>
          <a:endParaRPr sz="1400"/>
        </a:p>
      </xdr:txBody>
    </xdr:sp>
    <xdr:clientData fLocksWithSheet="0"/>
  </xdr:oneCellAnchor>
  <xdr:oneCellAnchor>
    <xdr:from>
      <xdr:col>11</xdr:col>
      <xdr:colOff>133350</xdr:colOff>
      <xdr:row>27</xdr:row>
      <xdr:rowOff>66675</xdr:rowOff>
    </xdr:from>
    <xdr:ext cx="523875" cy="219075"/>
    <xdr:sp>
      <xdr:nvSpPr>
        <xdr:cNvPr id="60" name="Shape 60"/>
        <xdr:cNvSpPr txBox="1"/>
      </xdr:nvSpPr>
      <xdr:spPr>
        <a:xfrm>
          <a:off x="5088825" y="3675225"/>
          <a:ext cx="514350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r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CIERRE</a:t>
          </a:r>
          <a:endParaRPr sz="1400"/>
        </a:p>
      </xdr:txBody>
    </xdr:sp>
    <xdr:clientData fLocksWithSheet="0"/>
  </xdr:oneCellAnchor>
  <xdr:oneCellAnchor>
    <xdr:from>
      <xdr:col>8</xdr:col>
      <xdr:colOff>542925</xdr:colOff>
      <xdr:row>56</xdr:row>
      <xdr:rowOff>85725</xdr:rowOff>
    </xdr:from>
    <xdr:ext cx="2533650" cy="361950"/>
    <xdr:sp>
      <xdr:nvSpPr>
        <xdr:cNvPr id="61" name="Shape 61"/>
        <xdr:cNvSpPr txBox="1"/>
      </xdr:nvSpPr>
      <xdr:spPr>
        <a:xfrm>
          <a:off x="4079175" y="3603788"/>
          <a:ext cx="2533650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8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FACTURACION IDEAL</a:t>
          </a:r>
          <a:endParaRPr sz="1400"/>
        </a:p>
      </xdr:txBody>
    </xdr:sp>
    <xdr:clientData fLocksWithSheet="0"/>
  </xdr:oneCellAnchor>
  <xdr:oneCellAnchor>
    <xdr:from>
      <xdr:col>8</xdr:col>
      <xdr:colOff>257175</xdr:colOff>
      <xdr:row>69</xdr:row>
      <xdr:rowOff>57150</xdr:rowOff>
    </xdr:from>
    <xdr:ext cx="2590800" cy="276225"/>
    <xdr:sp>
      <xdr:nvSpPr>
        <xdr:cNvPr id="62" name="Shape 62"/>
        <xdr:cNvSpPr/>
      </xdr:nvSpPr>
      <xdr:spPr>
        <a:xfrm>
          <a:off x="4055363" y="3646650"/>
          <a:ext cx="2581275" cy="266700"/>
        </a:xfrm>
        <a:prstGeom prst="roundRect">
          <a:avLst>
            <a:gd fmla="val 38149" name="adj"/>
          </a:avLst>
        </a:prstGeom>
        <a:solidFill>
          <a:srgbClr val="D0CECE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257175</xdr:colOff>
      <xdr:row>72</xdr:row>
      <xdr:rowOff>9525</xdr:rowOff>
    </xdr:from>
    <xdr:ext cx="2590800" cy="276225"/>
    <xdr:sp>
      <xdr:nvSpPr>
        <xdr:cNvPr id="62" name="Shape 62"/>
        <xdr:cNvSpPr/>
      </xdr:nvSpPr>
      <xdr:spPr>
        <a:xfrm>
          <a:off x="4055363" y="3646650"/>
          <a:ext cx="2581275" cy="266700"/>
        </a:xfrm>
        <a:prstGeom prst="roundRect">
          <a:avLst>
            <a:gd fmla="val 38149" name="adj"/>
          </a:avLst>
        </a:prstGeom>
        <a:solidFill>
          <a:srgbClr val="D0CECE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266700</xdr:colOff>
      <xdr:row>69</xdr:row>
      <xdr:rowOff>76200</xdr:rowOff>
    </xdr:from>
    <xdr:ext cx="1466850" cy="276225"/>
    <xdr:sp>
      <xdr:nvSpPr>
        <xdr:cNvPr id="63" name="Shape 63"/>
        <xdr:cNvSpPr txBox="1"/>
      </xdr:nvSpPr>
      <xdr:spPr>
        <a:xfrm>
          <a:off x="4617338" y="3646650"/>
          <a:ext cx="1457325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DIFERENCIA</a:t>
          </a:r>
          <a:endParaRPr sz="1400"/>
        </a:p>
      </xdr:txBody>
    </xdr:sp>
    <xdr:clientData fLocksWithSheet="0"/>
  </xdr:oneCellAnchor>
  <xdr:oneCellAnchor>
    <xdr:from>
      <xdr:col>8</xdr:col>
      <xdr:colOff>257175</xdr:colOff>
      <xdr:row>72</xdr:row>
      <xdr:rowOff>9525</xdr:rowOff>
    </xdr:from>
    <xdr:ext cx="1457325" cy="276225"/>
    <xdr:sp>
      <xdr:nvSpPr>
        <xdr:cNvPr id="64" name="Shape 64"/>
        <xdr:cNvSpPr txBox="1"/>
      </xdr:nvSpPr>
      <xdr:spPr>
        <a:xfrm>
          <a:off x="4622100" y="3646650"/>
          <a:ext cx="1447800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%</a:t>
          </a: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 DESVIO</a:t>
          </a:r>
          <a:endParaRPr b="1" i="0" sz="14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10</xdr:col>
      <xdr:colOff>190500</xdr:colOff>
      <xdr:row>69</xdr:row>
      <xdr:rowOff>57150</xdr:rowOff>
    </xdr:from>
    <xdr:ext cx="1285875" cy="276225"/>
    <xdr:sp>
      <xdr:nvSpPr>
        <xdr:cNvPr id="65" name="Shape 65"/>
        <xdr:cNvSpPr/>
      </xdr:nvSpPr>
      <xdr:spPr>
        <a:xfrm>
          <a:off x="4707825" y="3646650"/>
          <a:ext cx="1276350" cy="266700"/>
        </a:xfrm>
        <a:prstGeom prst="roundRect">
          <a:avLst>
            <a:gd fmla="val 31482" name="adj"/>
          </a:avLst>
        </a:prstGeom>
        <a:solidFill>
          <a:srgbClr val="323F4F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72</xdr:row>
      <xdr:rowOff>9525</xdr:rowOff>
    </xdr:from>
    <xdr:ext cx="1285875" cy="276225"/>
    <xdr:sp>
      <xdr:nvSpPr>
        <xdr:cNvPr id="65" name="Shape 65"/>
        <xdr:cNvSpPr/>
      </xdr:nvSpPr>
      <xdr:spPr>
        <a:xfrm>
          <a:off x="4707825" y="3646650"/>
          <a:ext cx="1276350" cy="266700"/>
        </a:xfrm>
        <a:prstGeom prst="roundRect">
          <a:avLst>
            <a:gd fmla="val 31482" name="adj"/>
          </a:avLst>
        </a:prstGeom>
        <a:solidFill>
          <a:srgbClr val="323F4F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10</xdr:col>
      <xdr:colOff>266700</xdr:colOff>
      <xdr:row>69</xdr:row>
      <xdr:rowOff>57150</xdr:rowOff>
    </xdr:from>
    <xdr:ext cx="1114425" cy="276225"/>
    <xdr:sp>
      <xdr:nvSpPr>
        <xdr:cNvPr id="66" name="Shape 66"/>
        <xdr:cNvSpPr txBox="1"/>
      </xdr:nvSpPr>
      <xdr:spPr>
        <a:xfrm>
          <a:off x="4788788" y="3646650"/>
          <a:ext cx="1114425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2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10</xdr:col>
      <xdr:colOff>266700</xdr:colOff>
      <xdr:row>72</xdr:row>
      <xdr:rowOff>9525</xdr:rowOff>
    </xdr:from>
    <xdr:ext cx="1114425" cy="276225"/>
    <xdr:sp>
      <xdr:nvSpPr>
        <xdr:cNvPr id="67" name="Shape 67"/>
        <xdr:cNvSpPr txBox="1"/>
      </xdr:nvSpPr>
      <xdr:spPr>
        <a:xfrm>
          <a:off x="4788788" y="3646650"/>
          <a:ext cx="1114425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2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11</xdr:row>
      <xdr:rowOff>19050</xdr:rowOff>
    </xdr:from>
    <xdr:ext cx="1800225" cy="552450"/>
    <xdr:sp>
      <xdr:nvSpPr>
        <xdr:cNvPr id="11" name="Shape 11"/>
        <xdr:cNvSpPr/>
      </xdr:nvSpPr>
      <xdr:spPr>
        <a:xfrm>
          <a:off x="4450650" y="3508538"/>
          <a:ext cx="1790700" cy="542925"/>
        </a:xfrm>
        <a:prstGeom prst="roundRect">
          <a:avLst>
            <a:gd fmla="val 7292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12</xdr:row>
      <xdr:rowOff>123825</xdr:rowOff>
    </xdr:from>
    <xdr:ext cx="1800225" cy="285750"/>
    <xdr:sp>
      <xdr:nvSpPr>
        <xdr:cNvPr id="68" name="Shape 68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chemeClr val="dk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11</xdr:row>
      <xdr:rowOff>19050</xdr:rowOff>
    </xdr:from>
    <xdr:ext cx="1800225" cy="285750"/>
    <xdr:sp>
      <xdr:nvSpPr>
        <xdr:cNvPr id="69" name="Shape 69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20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TURNO</a:t>
          </a:r>
          <a:endParaRPr sz="1400"/>
        </a:p>
      </xdr:txBody>
    </xdr:sp>
    <xdr:clientData fLocksWithSheet="0"/>
  </xdr:oneCellAnchor>
  <xdr:oneCellAnchor>
    <xdr:from>
      <xdr:col>3</xdr:col>
      <xdr:colOff>95250</xdr:colOff>
      <xdr:row>11</xdr:row>
      <xdr:rowOff>19050</xdr:rowOff>
    </xdr:from>
    <xdr:ext cx="1800225" cy="552450"/>
    <xdr:sp>
      <xdr:nvSpPr>
        <xdr:cNvPr id="11" name="Shape 11"/>
        <xdr:cNvSpPr/>
      </xdr:nvSpPr>
      <xdr:spPr>
        <a:xfrm>
          <a:off x="4450650" y="3508538"/>
          <a:ext cx="1790700" cy="542925"/>
        </a:xfrm>
        <a:prstGeom prst="roundRect">
          <a:avLst>
            <a:gd fmla="val 7292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95250</xdr:colOff>
      <xdr:row>12</xdr:row>
      <xdr:rowOff>114300</xdr:rowOff>
    </xdr:from>
    <xdr:ext cx="1800225" cy="285750"/>
    <xdr:sp>
      <xdr:nvSpPr>
        <xdr:cNvPr id="70" name="Shape 70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chemeClr val="dk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95250</xdr:colOff>
      <xdr:row>11</xdr:row>
      <xdr:rowOff>19050</xdr:rowOff>
    </xdr:from>
    <xdr:ext cx="1800225" cy="285750"/>
    <xdr:sp>
      <xdr:nvSpPr>
        <xdr:cNvPr id="71" name="Shape 71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20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ENCARGADO</a:t>
          </a:r>
          <a:endParaRPr sz="1400"/>
        </a:p>
      </xdr:txBody>
    </xdr:sp>
    <xdr:clientData fLocksWithSheet="0"/>
  </xdr:oneCellAnchor>
  <xdr:oneCellAnchor>
    <xdr:from>
      <xdr:col>3</xdr:col>
      <xdr:colOff>95250</xdr:colOff>
      <xdr:row>7</xdr:row>
      <xdr:rowOff>152400</xdr:rowOff>
    </xdr:from>
    <xdr:ext cx="1800225" cy="552450"/>
    <xdr:sp>
      <xdr:nvSpPr>
        <xdr:cNvPr id="11" name="Shape 11"/>
        <xdr:cNvSpPr/>
      </xdr:nvSpPr>
      <xdr:spPr>
        <a:xfrm>
          <a:off x="4450650" y="3508538"/>
          <a:ext cx="1790700" cy="542925"/>
        </a:xfrm>
        <a:prstGeom prst="roundRect">
          <a:avLst>
            <a:gd fmla="val 7292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95250</xdr:colOff>
      <xdr:row>9</xdr:row>
      <xdr:rowOff>57150</xdr:rowOff>
    </xdr:from>
    <xdr:ext cx="1800225" cy="285750"/>
    <xdr:sp>
      <xdr:nvSpPr>
        <xdr:cNvPr id="72" name="Shape 72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chemeClr val="dk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95250</xdr:colOff>
      <xdr:row>7</xdr:row>
      <xdr:rowOff>152400</xdr:rowOff>
    </xdr:from>
    <xdr:ext cx="1800225" cy="285750"/>
    <xdr:sp>
      <xdr:nvSpPr>
        <xdr:cNvPr id="73" name="Shape 73"/>
        <xdr:cNvSpPr txBox="1"/>
      </xdr:nvSpPr>
      <xdr:spPr>
        <a:xfrm>
          <a:off x="4450650" y="3641888"/>
          <a:ext cx="1790700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20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DIA</a:t>
          </a:r>
          <a:endParaRPr sz="1400"/>
        </a:p>
      </xdr:txBody>
    </xdr:sp>
    <xdr:clientData fLocksWithSheet="0"/>
  </xdr:oneCellAnchor>
  <xdr:oneCellAnchor>
    <xdr:from>
      <xdr:col>1</xdr:col>
      <xdr:colOff>609600</xdr:colOff>
      <xdr:row>29</xdr:row>
      <xdr:rowOff>123825</xdr:rowOff>
    </xdr:from>
    <xdr:ext cx="1085850" cy="361950"/>
    <xdr:sp>
      <xdr:nvSpPr>
        <xdr:cNvPr id="74" name="Shape 74"/>
        <xdr:cNvSpPr txBox="1"/>
      </xdr:nvSpPr>
      <xdr:spPr>
        <a:xfrm>
          <a:off x="4807838" y="3603788"/>
          <a:ext cx="107632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504825</xdr:colOff>
      <xdr:row>31</xdr:row>
      <xdr:rowOff>28575</xdr:rowOff>
    </xdr:from>
    <xdr:ext cx="1400175" cy="219075"/>
    <xdr:sp>
      <xdr:nvSpPr>
        <xdr:cNvPr id="75" name="Shape 75"/>
        <xdr:cNvSpPr txBox="1"/>
      </xdr:nvSpPr>
      <xdr:spPr>
        <a:xfrm>
          <a:off x="4650675" y="3675225"/>
          <a:ext cx="1390650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INTERVALO PRIMER VENTA</a:t>
          </a:r>
          <a:endParaRPr sz="1400"/>
        </a:p>
      </xdr:txBody>
    </xdr:sp>
    <xdr:clientData fLocksWithSheet="0"/>
  </xdr:oneCellAnchor>
  <xdr:oneCellAnchor>
    <xdr:from>
      <xdr:col>9</xdr:col>
      <xdr:colOff>304800</xdr:colOff>
      <xdr:row>29</xdr:row>
      <xdr:rowOff>123825</xdr:rowOff>
    </xdr:from>
    <xdr:ext cx="1076325" cy="361950"/>
    <xdr:sp>
      <xdr:nvSpPr>
        <xdr:cNvPr id="76" name="Shape 76"/>
        <xdr:cNvSpPr txBox="1"/>
      </xdr:nvSpPr>
      <xdr:spPr>
        <a:xfrm>
          <a:off x="4812600" y="3603788"/>
          <a:ext cx="1066800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9</xdr:col>
      <xdr:colOff>152400</xdr:colOff>
      <xdr:row>31</xdr:row>
      <xdr:rowOff>28575</xdr:rowOff>
    </xdr:from>
    <xdr:ext cx="1390650" cy="219075"/>
    <xdr:sp>
      <xdr:nvSpPr>
        <xdr:cNvPr id="77" name="Shape 77"/>
        <xdr:cNvSpPr txBox="1"/>
      </xdr:nvSpPr>
      <xdr:spPr>
        <a:xfrm>
          <a:off x="4655438" y="3675225"/>
          <a:ext cx="1381125" cy="209550"/>
        </a:xfrm>
        <a:prstGeom prst="rect">
          <a:avLst/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800" u="none" strike="noStrike">
              <a:solidFill>
                <a:srgbClr val="000000"/>
              </a:solidFill>
              <a:latin typeface="Fira Sans"/>
              <a:ea typeface="Fira Sans"/>
              <a:cs typeface="Fira Sans"/>
              <a:sym typeface="Fira Sans"/>
            </a:rPr>
            <a:t>INTERVALO ÚLTIMA VENTA</a:t>
          </a:r>
          <a:endParaRPr sz="1400"/>
        </a:p>
      </xdr:txBody>
    </xdr:sp>
    <xdr:clientData fLocksWithSheet="0"/>
  </xdr:oneCellAnchor>
  <xdr:oneCellAnchor>
    <xdr:from>
      <xdr:col>8</xdr:col>
      <xdr:colOff>714375</xdr:colOff>
      <xdr:row>38</xdr:row>
      <xdr:rowOff>85725</xdr:rowOff>
    </xdr:from>
    <xdr:ext cx="1409700" cy="419100"/>
    <xdr:sp>
      <xdr:nvSpPr>
        <xdr:cNvPr id="78" name="Shape 78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10</xdr:col>
      <xdr:colOff>619125</xdr:colOff>
      <xdr:row>38</xdr:row>
      <xdr:rowOff>85725</xdr:rowOff>
    </xdr:from>
    <xdr:ext cx="952500" cy="419100"/>
    <xdr:sp>
      <xdr:nvSpPr>
        <xdr:cNvPr id="79" name="Shape 79"/>
        <xdr:cNvSpPr txBox="1"/>
      </xdr:nvSpPr>
      <xdr:spPr>
        <a:xfrm flipH="1">
          <a:off x="4874513" y="3575213"/>
          <a:ext cx="9429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42</xdr:row>
      <xdr:rowOff>123825</xdr:rowOff>
    </xdr:from>
    <xdr:ext cx="8867775" cy="209550"/>
    <xdr:sp>
      <xdr:nvSpPr>
        <xdr:cNvPr id="27" name="Shape 27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600075</xdr:colOff>
      <xdr:row>43</xdr:row>
      <xdr:rowOff>152400</xdr:rowOff>
    </xdr:from>
    <xdr:ext cx="1409700" cy="419100"/>
    <xdr:sp>
      <xdr:nvSpPr>
        <xdr:cNvPr id="80" name="Shape 80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457200</xdr:colOff>
      <xdr:row>43</xdr:row>
      <xdr:rowOff>152400</xdr:rowOff>
    </xdr:from>
    <xdr:ext cx="1409700" cy="419100"/>
    <xdr:sp>
      <xdr:nvSpPr>
        <xdr:cNvPr id="81" name="Shape 81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6</xdr:col>
      <xdr:colOff>742950</xdr:colOff>
      <xdr:row>43</xdr:row>
      <xdr:rowOff>152400</xdr:rowOff>
    </xdr:from>
    <xdr:ext cx="1409700" cy="419100"/>
    <xdr:sp>
      <xdr:nvSpPr>
        <xdr:cNvPr id="82" name="Shape 82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43</xdr:row>
      <xdr:rowOff>152400</xdr:rowOff>
    </xdr:from>
    <xdr:ext cx="1409700" cy="419100"/>
    <xdr:sp>
      <xdr:nvSpPr>
        <xdr:cNvPr id="83" name="Shape 83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8</xdr:col>
      <xdr:colOff>714375</xdr:colOff>
      <xdr:row>43</xdr:row>
      <xdr:rowOff>152400</xdr:rowOff>
    </xdr:from>
    <xdr:ext cx="1409700" cy="419100"/>
    <xdr:sp>
      <xdr:nvSpPr>
        <xdr:cNvPr id="84" name="Shape 84"/>
        <xdr:cNvSpPr txBox="1"/>
      </xdr:nvSpPr>
      <xdr:spPr>
        <a:xfrm flipH="1">
          <a:off x="4645913" y="3575213"/>
          <a:ext cx="14001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10</xdr:col>
      <xdr:colOff>619125</xdr:colOff>
      <xdr:row>43</xdr:row>
      <xdr:rowOff>152400</xdr:rowOff>
    </xdr:from>
    <xdr:ext cx="952500" cy="419100"/>
    <xdr:sp>
      <xdr:nvSpPr>
        <xdr:cNvPr id="85" name="Shape 85"/>
        <xdr:cNvSpPr txBox="1"/>
      </xdr:nvSpPr>
      <xdr:spPr>
        <a:xfrm flipH="1">
          <a:off x="4874513" y="3575213"/>
          <a:ext cx="94297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42</xdr:row>
      <xdr:rowOff>114300</xdr:rowOff>
    </xdr:from>
    <xdr:ext cx="8848725" cy="209550"/>
    <xdr:sp>
      <xdr:nvSpPr>
        <xdr:cNvPr id="86" name="Shape 86"/>
        <xdr:cNvSpPr txBox="1"/>
      </xdr:nvSpPr>
      <xdr:spPr>
        <a:xfrm>
          <a:off x="926400" y="3679988"/>
          <a:ext cx="8839200" cy="2000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    Getnet Real                  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Real No Conciliado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              Getnet Sistema                Sistema No Conciliado         Diferencia                      %</a:t>
          </a:r>
          <a:endParaRPr sz="1400"/>
        </a:p>
      </xdr:txBody>
    </xdr:sp>
    <xdr:clientData fLocksWithSheet="0"/>
  </xdr:oneCellAnchor>
  <xdr:oneCellAnchor>
    <xdr:from>
      <xdr:col>0</xdr:col>
      <xdr:colOff>314325</xdr:colOff>
      <xdr:row>35</xdr:row>
      <xdr:rowOff>104775</xdr:rowOff>
    </xdr:from>
    <xdr:ext cx="8867775" cy="209550"/>
    <xdr:sp>
      <xdr:nvSpPr>
        <xdr:cNvPr id="87" name="Shape 87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rgbClr val="7B7B7B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647700</xdr:colOff>
      <xdr:row>35</xdr:row>
      <xdr:rowOff>133350</xdr:rowOff>
    </xdr:from>
    <xdr:ext cx="2000250" cy="180975"/>
    <xdr:sp>
      <xdr:nvSpPr>
        <xdr:cNvPr id="88" name="Shape 88"/>
        <xdr:cNvSpPr txBox="1"/>
      </xdr:nvSpPr>
      <xdr:spPr>
        <a:xfrm>
          <a:off x="4350638" y="3694275"/>
          <a:ext cx="1990725" cy="1714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MERCADO PAGO</a:t>
          </a:r>
          <a:endParaRPr sz="1400"/>
        </a:p>
      </xdr:txBody>
    </xdr:sp>
    <xdr:clientData fLocksWithSheet="0"/>
  </xdr:oneCellAnchor>
  <xdr:oneCellAnchor>
    <xdr:from>
      <xdr:col>0</xdr:col>
      <xdr:colOff>314325</xdr:colOff>
      <xdr:row>40</xdr:row>
      <xdr:rowOff>161925</xdr:rowOff>
    </xdr:from>
    <xdr:ext cx="8867775" cy="209550"/>
    <xdr:sp>
      <xdr:nvSpPr>
        <xdr:cNvPr id="89" name="Shape 89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rgbClr val="7B7B7B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647700</xdr:colOff>
      <xdr:row>41</xdr:row>
      <xdr:rowOff>0</xdr:rowOff>
    </xdr:from>
    <xdr:ext cx="2000250" cy="180975"/>
    <xdr:sp>
      <xdr:nvSpPr>
        <xdr:cNvPr id="90" name="Shape 90"/>
        <xdr:cNvSpPr txBox="1"/>
      </xdr:nvSpPr>
      <xdr:spPr>
        <a:xfrm>
          <a:off x="4350638" y="3694275"/>
          <a:ext cx="1990725" cy="1714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GETNET</a:t>
          </a:r>
          <a:endParaRPr sz="1400"/>
        </a:p>
      </xdr:txBody>
    </xdr:sp>
    <xdr:clientData fLocksWithSheet="0"/>
  </xdr:oneCellAnchor>
  <xdr:oneCellAnchor>
    <xdr:from>
      <xdr:col>0</xdr:col>
      <xdr:colOff>314325</xdr:colOff>
      <xdr:row>47</xdr:row>
      <xdr:rowOff>133350</xdr:rowOff>
    </xdr:from>
    <xdr:ext cx="8867775" cy="209550"/>
    <xdr:sp>
      <xdr:nvSpPr>
        <xdr:cNvPr id="27" name="Shape 27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46</xdr:row>
      <xdr:rowOff>0</xdr:rowOff>
    </xdr:from>
    <xdr:ext cx="8867775" cy="209550"/>
    <xdr:sp>
      <xdr:nvSpPr>
        <xdr:cNvPr id="89" name="Shape 89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rgbClr val="7B7B7B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647700</xdr:colOff>
      <xdr:row>46</xdr:row>
      <xdr:rowOff>28575</xdr:rowOff>
    </xdr:from>
    <xdr:ext cx="2000250" cy="180975"/>
    <xdr:sp>
      <xdr:nvSpPr>
        <xdr:cNvPr id="91" name="Shape 91"/>
        <xdr:cNvSpPr txBox="1"/>
      </xdr:nvSpPr>
      <xdr:spPr>
        <a:xfrm>
          <a:off x="4350638" y="3694275"/>
          <a:ext cx="1990725" cy="1714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EFECTIVO</a:t>
          </a:r>
          <a:endParaRPr sz="1400"/>
        </a:p>
      </xdr:txBody>
    </xdr:sp>
    <xdr:clientData fLocksWithSheet="0"/>
  </xdr:oneCellAnchor>
  <xdr:oneCellAnchor>
    <xdr:from>
      <xdr:col>0</xdr:col>
      <xdr:colOff>314325</xdr:colOff>
      <xdr:row>51</xdr:row>
      <xdr:rowOff>38100</xdr:rowOff>
    </xdr:from>
    <xdr:ext cx="8867775" cy="209550"/>
    <xdr:sp>
      <xdr:nvSpPr>
        <xdr:cNvPr id="89" name="Shape 89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rgbClr val="7B7B7B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314325</xdr:colOff>
      <xdr:row>53</xdr:row>
      <xdr:rowOff>0</xdr:rowOff>
    </xdr:from>
    <xdr:ext cx="8867775" cy="209550"/>
    <xdr:sp>
      <xdr:nvSpPr>
        <xdr:cNvPr id="27" name="Shape 27"/>
        <xdr:cNvSpPr/>
      </xdr:nvSpPr>
      <xdr:spPr>
        <a:xfrm>
          <a:off x="916875" y="3679988"/>
          <a:ext cx="8858250" cy="200025"/>
        </a:xfrm>
        <a:prstGeom prst="roundRect">
          <a:avLst>
            <a:gd fmla="val 0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657225</xdr:colOff>
      <xdr:row>51</xdr:row>
      <xdr:rowOff>66675</xdr:rowOff>
    </xdr:from>
    <xdr:ext cx="2000250" cy="180975"/>
    <xdr:sp>
      <xdr:nvSpPr>
        <xdr:cNvPr id="92" name="Shape 92"/>
        <xdr:cNvSpPr txBox="1"/>
      </xdr:nvSpPr>
      <xdr:spPr>
        <a:xfrm>
          <a:off x="4350638" y="3694275"/>
          <a:ext cx="1990725" cy="1714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CTA</a:t>
          </a:r>
          <a:r>
            <a:rPr b="1" i="0" lang="en-US" sz="1400" u="none" strike="noStrike">
              <a:solidFill>
                <a:schemeClr val="lt1"/>
              </a:solidFill>
              <a:latin typeface="Fira Sans"/>
              <a:ea typeface="Fira Sans"/>
              <a:cs typeface="Fira Sans"/>
              <a:sym typeface="Fira Sans"/>
            </a:rPr>
            <a:t> CTE</a:t>
          </a:r>
          <a:endParaRPr b="1" i="0" sz="1400" u="none" strike="noStrike">
            <a:solidFill>
              <a:schemeClr val="lt1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9</xdr:col>
      <xdr:colOff>28575</xdr:colOff>
      <xdr:row>48</xdr:row>
      <xdr:rowOff>161925</xdr:rowOff>
    </xdr:from>
    <xdr:ext cx="1304925" cy="419100"/>
    <xdr:sp>
      <xdr:nvSpPr>
        <xdr:cNvPr id="93" name="Shape 93"/>
        <xdr:cNvSpPr txBox="1"/>
      </xdr:nvSpPr>
      <xdr:spPr>
        <a:xfrm flipH="1">
          <a:off x="4698300" y="3575213"/>
          <a:ext cx="1295400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7</xdr:col>
      <xdr:colOff>247650</xdr:colOff>
      <xdr:row>48</xdr:row>
      <xdr:rowOff>161925</xdr:rowOff>
    </xdr:from>
    <xdr:ext cx="1314450" cy="419100"/>
    <xdr:sp>
      <xdr:nvSpPr>
        <xdr:cNvPr id="94" name="Shape 94"/>
        <xdr:cNvSpPr txBox="1"/>
      </xdr:nvSpPr>
      <xdr:spPr>
        <a:xfrm flipH="1">
          <a:off x="4693538" y="3575213"/>
          <a:ext cx="130492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5</xdr:col>
      <xdr:colOff>457200</xdr:colOff>
      <xdr:row>48</xdr:row>
      <xdr:rowOff>161925</xdr:rowOff>
    </xdr:from>
    <xdr:ext cx="1314450" cy="419100"/>
    <xdr:sp>
      <xdr:nvSpPr>
        <xdr:cNvPr id="95" name="Shape 95"/>
        <xdr:cNvSpPr txBox="1"/>
      </xdr:nvSpPr>
      <xdr:spPr>
        <a:xfrm flipH="1">
          <a:off x="4693538" y="3575213"/>
          <a:ext cx="130492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685800</xdr:colOff>
      <xdr:row>48</xdr:row>
      <xdr:rowOff>171450</xdr:rowOff>
    </xdr:from>
    <xdr:ext cx="1314450" cy="419100"/>
    <xdr:sp>
      <xdr:nvSpPr>
        <xdr:cNvPr id="96" name="Shape 96"/>
        <xdr:cNvSpPr txBox="1"/>
      </xdr:nvSpPr>
      <xdr:spPr>
        <a:xfrm flipH="1">
          <a:off x="4693538" y="3575213"/>
          <a:ext cx="130492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133350</xdr:colOff>
      <xdr:row>48</xdr:row>
      <xdr:rowOff>171450</xdr:rowOff>
    </xdr:from>
    <xdr:ext cx="1304925" cy="419100"/>
    <xdr:sp>
      <xdr:nvSpPr>
        <xdr:cNvPr id="97" name="Shape 97"/>
        <xdr:cNvSpPr txBox="1"/>
      </xdr:nvSpPr>
      <xdr:spPr>
        <a:xfrm flipH="1">
          <a:off x="4698300" y="3575213"/>
          <a:ext cx="1295400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342900</xdr:colOff>
      <xdr:row>48</xdr:row>
      <xdr:rowOff>171450</xdr:rowOff>
    </xdr:from>
    <xdr:ext cx="1314450" cy="419100"/>
    <xdr:sp>
      <xdr:nvSpPr>
        <xdr:cNvPr id="98" name="Shape 98"/>
        <xdr:cNvSpPr txBox="1"/>
      </xdr:nvSpPr>
      <xdr:spPr>
        <a:xfrm flipH="1">
          <a:off x="4693538" y="3575213"/>
          <a:ext cx="130492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323850</xdr:colOff>
      <xdr:row>47</xdr:row>
      <xdr:rowOff>133350</xdr:rowOff>
    </xdr:from>
    <xdr:ext cx="8848725" cy="209550"/>
    <xdr:sp>
      <xdr:nvSpPr>
        <xdr:cNvPr id="99" name="Shape 99"/>
        <xdr:cNvSpPr txBox="1"/>
      </xdr:nvSpPr>
      <xdr:spPr>
        <a:xfrm>
          <a:off x="926400" y="3679988"/>
          <a:ext cx="8839200" cy="2000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 Apertura Caja              Efectivo Real                 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Pagos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               Recuento Real         Recuento Sistema           Diferencia                      %</a:t>
          </a:r>
          <a:endParaRPr sz="1400"/>
        </a:p>
      </xdr:txBody>
    </xdr:sp>
    <xdr:clientData fLocksWithSheet="0"/>
  </xdr:oneCellAnchor>
  <xdr:oneCellAnchor>
    <xdr:from>
      <xdr:col>10</xdr:col>
      <xdr:colOff>581025</xdr:colOff>
      <xdr:row>48</xdr:row>
      <xdr:rowOff>161925</xdr:rowOff>
    </xdr:from>
    <xdr:ext cx="981075" cy="419100"/>
    <xdr:sp>
      <xdr:nvSpPr>
        <xdr:cNvPr id="100" name="Shape 100"/>
        <xdr:cNvSpPr txBox="1"/>
      </xdr:nvSpPr>
      <xdr:spPr>
        <a:xfrm flipH="1">
          <a:off x="4860225" y="3575213"/>
          <a:ext cx="971550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314325</xdr:colOff>
      <xdr:row>53</xdr:row>
      <xdr:rowOff>0</xdr:rowOff>
    </xdr:from>
    <xdr:ext cx="8848725" cy="209550"/>
    <xdr:sp>
      <xdr:nvSpPr>
        <xdr:cNvPr id="101" name="Shape 101"/>
        <xdr:cNvSpPr txBox="1"/>
      </xdr:nvSpPr>
      <xdr:spPr>
        <a:xfrm>
          <a:off x="926400" y="3679988"/>
          <a:ext cx="8839200" cy="2000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  CtaCte Sistema                                                                        Conciliado Sistema                                                                          CtaCte</a:t>
          </a:r>
          <a:r>
            <a:rPr lang="en-US" sz="1100">
              <a:solidFill>
                <a:schemeClr val="dk1"/>
              </a:solidFill>
              <a:latin typeface="Fira Sans"/>
              <a:ea typeface="Fira Sans"/>
              <a:cs typeface="Fira Sans"/>
              <a:sym typeface="Fira Sans"/>
            </a:rPr>
            <a:t> Real</a:t>
          </a:r>
          <a:endParaRPr sz="1400"/>
        </a:p>
      </xdr:txBody>
    </xdr:sp>
    <xdr:clientData fLocksWithSheet="0"/>
  </xdr:oneCellAnchor>
  <xdr:oneCellAnchor>
    <xdr:from>
      <xdr:col>10</xdr:col>
      <xdr:colOff>228600</xdr:colOff>
      <xdr:row>54</xdr:row>
      <xdr:rowOff>28575</xdr:rowOff>
    </xdr:from>
    <xdr:ext cx="1171575" cy="419100"/>
    <xdr:sp>
      <xdr:nvSpPr>
        <xdr:cNvPr id="102" name="Shape 102"/>
        <xdr:cNvSpPr txBox="1"/>
      </xdr:nvSpPr>
      <xdr:spPr>
        <a:xfrm flipH="1">
          <a:off x="4764975" y="3575213"/>
          <a:ext cx="1162050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5</xdr:col>
      <xdr:colOff>266700</xdr:colOff>
      <xdr:row>54</xdr:row>
      <xdr:rowOff>28575</xdr:rowOff>
    </xdr:from>
    <xdr:ext cx="1314450" cy="419100"/>
    <xdr:sp>
      <xdr:nvSpPr>
        <xdr:cNvPr id="103" name="Shape 103"/>
        <xdr:cNvSpPr txBox="1"/>
      </xdr:nvSpPr>
      <xdr:spPr>
        <a:xfrm flipH="1">
          <a:off x="4693538" y="3575213"/>
          <a:ext cx="130492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0</xdr:col>
      <xdr:colOff>323850</xdr:colOff>
      <xdr:row>54</xdr:row>
      <xdr:rowOff>28575</xdr:rowOff>
    </xdr:from>
    <xdr:ext cx="1314450" cy="419100"/>
    <xdr:sp>
      <xdr:nvSpPr>
        <xdr:cNvPr id="104" name="Shape 104"/>
        <xdr:cNvSpPr txBox="1"/>
      </xdr:nvSpPr>
      <xdr:spPr>
        <a:xfrm flipH="1">
          <a:off x="4693538" y="3575213"/>
          <a:ext cx="1304925" cy="4095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0" i="0" sz="1600" u="none" strike="noStrike">
            <a:solidFill>
              <a:srgbClr val="000000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10</xdr:col>
      <xdr:colOff>247650</xdr:colOff>
      <xdr:row>2</xdr:row>
      <xdr:rowOff>95250</xdr:rowOff>
    </xdr:from>
    <xdr:ext cx="1619250" cy="771525"/>
    <xdr:pic>
      <xdr:nvPicPr>
        <xdr:cNvPr id="0" name="image4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514350</xdr:colOff>
      <xdr:row>18</xdr:row>
      <xdr:rowOff>38100</xdr:rowOff>
    </xdr:from>
    <xdr:ext cx="381000" cy="361950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514350</xdr:colOff>
      <xdr:row>18</xdr:row>
      <xdr:rowOff>28575</xdr:rowOff>
    </xdr:from>
    <xdr:ext cx="381000" cy="361950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504825</xdr:colOff>
      <xdr:row>18</xdr:row>
      <xdr:rowOff>38100</xdr:rowOff>
    </xdr:from>
    <xdr:ext cx="400050" cy="381000"/>
    <xdr:pic>
      <xdr:nvPicPr>
        <xdr:cNvPr id="0" name="image8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495300</xdr:colOff>
      <xdr:row>18</xdr:row>
      <xdr:rowOff>47625</xdr:rowOff>
    </xdr:from>
    <xdr:ext cx="400050" cy="381000"/>
    <xdr:pic>
      <xdr:nvPicPr>
        <xdr:cNvPr id="0" name="image8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266700</xdr:colOff>
      <xdr:row>23</xdr:row>
      <xdr:rowOff>104775</xdr:rowOff>
    </xdr:from>
    <xdr:ext cx="323850" cy="314325"/>
    <xdr:pic>
      <xdr:nvPicPr>
        <xdr:cNvPr id="0" name="image7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400050</xdr:colOff>
      <xdr:row>28</xdr:row>
      <xdr:rowOff>171450</xdr:rowOff>
    </xdr:from>
    <xdr:ext cx="352425" cy="352425"/>
    <xdr:pic>
      <xdr:nvPicPr>
        <xdr:cNvPr id="0" name="image6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28</xdr:row>
      <xdr:rowOff>171450</xdr:rowOff>
    </xdr:from>
    <xdr:ext cx="352425" cy="352425"/>
    <xdr:pic>
      <xdr:nvPicPr>
        <xdr:cNvPr id="0" name="image6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438150</xdr:colOff>
      <xdr:row>28</xdr:row>
      <xdr:rowOff>95250</xdr:rowOff>
    </xdr:from>
    <xdr:ext cx="238125" cy="228600"/>
    <xdr:pic>
      <xdr:nvPicPr>
        <xdr:cNvPr id="0" name="image5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723900</xdr:colOff>
      <xdr:row>28</xdr:row>
      <xdr:rowOff>95250</xdr:rowOff>
    </xdr:from>
    <xdr:ext cx="247650" cy="228600"/>
    <xdr:pic>
      <xdr:nvPicPr>
        <xdr:cNvPr id="0" name="image5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4</xdr:col>
      <xdr:colOff>304800</xdr:colOff>
      <xdr:row>33</xdr:row>
      <xdr:rowOff>19050</xdr:rowOff>
    </xdr:from>
    <xdr:ext cx="323850" cy="314325"/>
    <xdr:pic>
      <xdr:nvPicPr>
        <xdr:cNvPr id="0" name="image1.pn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56</xdr:row>
      <xdr:rowOff>114300</xdr:rowOff>
    </xdr:from>
    <xdr:ext cx="323850" cy="314325"/>
    <xdr:pic>
      <xdr:nvPicPr>
        <xdr:cNvPr id="0" name="image2.pn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266700</xdr:colOff>
      <xdr:row>56</xdr:row>
      <xdr:rowOff>123825</xdr:rowOff>
    </xdr:from>
    <xdr:ext cx="295275" cy="285750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142875</xdr:rowOff>
    </xdr:from>
    <xdr:ext cx="11934825" cy="552450"/>
    <xdr:sp>
      <xdr:nvSpPr>
        <xdr:cNvPr id="105" name="Shape 105"/>
        <xdr:cNvSpPr/>
      </xdr:nvSpPr>
      <xdr:spPr>
        <a:xfrm>
          <a:off x="0" y="3508538"/>
          <a:ext cx="10692000" cy="542925"/>
        </a:xfrm>
        <a:prstGeom prst="roundRect">
          <a:avLst>
            <a:gd fmla="val 29227" name="adj"/>
          </a:avLst>
        </a:prstGeom>
        <a:solidFill>
          <a:srgbClr val="D0CECE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76200</xdr:colOff>
      <xdr:row>5</xdr:row>
      <xdr:rowOff>0</xdr:rowOff>
    </xdr:from>
    <xdr:ext cx="11963400" cy="581025"/>
    <xdr:sp>
      <xdr:nvSpPr>
        <xdr:cNvPr id="106" name="Shape 106"/>
        <xdr:cNvSpPr/>
      </xdr:nvSpPr>
      <xdr:spPr>
        <a:xfrm>
          <a:off x="0" y="3494250"/>
          <a:ext cx="10692000" cy="5715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11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0</xdr:colOff>
      <xdr:row>0</xdr:row>
      <xdr:rowOff>142875</xdr:rowOff>
    </xdr:from>
    <xdr:ext cx="1447800" cy="552450"/>
    <xdr:sp>
      <xdr:nvSpPr>
        <xdr:cNvPr id="109" name="Shape 109"/>
        <xdr:cNvSpPr/>
      </xdr:nvSpPr>
      <xdr:spPr>
        <a:xfrm>
          <a:off x="4626863" y="3508538"/>
          <a:ext cx="1438275" cy="542925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</xdr:col>
      <xdr:colOff>962025</xdr:colOff>
      <xdr:row>0</xdr:row>
      <xdr:rowOff>142875</xdr:rowOff>
    </xdr:from>
    <xdr:ext cx="1314450" cy="552450"/>
    <xdr:sp>
      <xdr:nvSpPr>
        <xdr:cNvPr id="110" name="Shape 110"/>
        <xdr:cNvSpPr/>
      </xdr:nvSpPr>
      <xdr:spPr>
        <a:xfrm>
          <a:off x="4693538" y="3508538"/>
          <a:ext cx="1304925" cy="542925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</xdr:col>
      <xdr:colOff>1000125</xdr:colOff>
      <xdr:row>0</xdr:row>
      <xdr:rowOff>161925</xdr:rowOff>
    </xdr:from>
    <xdr:ext cx="1276350" cy="542925"/>
    <xdr:sp>
      <xdr:nvSpPr>
        <xdr:cNvPr id="111" name="Shape 111"/>
        <xdr:cNvSpPr txBox="1"/>
      </xdr:nvSpPr>
      <xdr:spPr>
        <a:xfrm>
          <a:off x="4712588" y="3513300"/>
          <a:ext cx="1266825" cy="5334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28575</xdr:colOff>
      <xdr:row>0</xdr:row>
      <xdr:rowOff>152400</xdr:rowOff>
    </xdr:from>
    <xdr:ext cx="923925" cy="542925"/>
    <xdr:sp>
      <xdr:nvSpPr>
        <xdr:cNvPr id="112" name="Shape 112"/>
        <xdr:cNvSpPr txBox="1"/>
      </xdr:nvSpPr>
      <xdr:spPr>
        <a:xfrm>
          <a:off x="4888800" y="3513300"/>
          <a:ext cx="914400" cy="5334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FECHA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-19050</xdr:colOff>
      <xdr:row>5</xdr:row>
      <xdr:rowOff>0</xdr:rowOff>
    </xdr:from>
    <xdr:ext cx="38100" cy="571500"/>
    <xdr:sp>
      <xdr:nvSpPr>
        <xdr:cNvPr id="113" name="Shape 113"/>
        <xdr:cNvSpPr/>
      </xdr:nvSpPr>
      <xdr:spPr>
        <a:xfrm>
          <a:off x="5346000" y="3494250"/>
          <a:ext cx="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-19050</xdr:colOff>
      <xdr:row>5</xdr:row>
      <xdr:rowOff>0</xdr:rowOff>
    </xdr:from>
    <xdr:ext cx="38100" cy="571500"/>
    <xdr:sp>
      <xdr:nvSpPr>
        <xdr:cNvPr id="114" name="Shape 114"/>
        <xdr:cNvSpPr txBox="1"/>
      </xdr:nvSpPr>
      <xdr:spPr>
        <a:xfrm>
          <a:off x="5346000" y="3494250"/>
          <a:ext cx="0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5</xdr:row>
      <xdr:rowOff>0</xdr:rowOff>
    </xdr:from>
    <xdr:ext cx="8420100" cy="581025"/>
    <xdr:sp>
      <xdr:nvSpPr>
        <xdr:cNvPr id="115" name="Shape 115"/>
        <xdr:cNvSpPr txBox="1"/>
      </xdr:nvSpPr>
      <xdr:spPr>
        <a:xfrm>
          <a:off x="1140713" y="3494250"/>
          <a:ext cx="8410575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EGRESOS CAJA ADICIÓN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2695575</xdr:colOff>
      <xdr:row>0</xdr:row>
      <xdr:rowOff>142875</xdr:rowOff>
    </xdr:from>
    <xdr:ext cx="3924300" cy="552450"/>
    <xdr:sp>
      <xdr:nvSpPr>
        <xdr:cNvPr id="116" name="Shape 116"/>
        <xdr:cNvSpPr txBox="1"/>
      </xdr:nvSpPr>
      <xdr:spPr>
        <a:xfrm>
          <a:off x="3388613" y="3508538"/>
          <a:ext cx="3914775" cy="5429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PARADOR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76200</xdr:colOff>
      <xdr:row>19</xdr:row>
      <xdr:rowOff>0</xdr:rowOff>
    </xdr:from>
    <xdr:ext cx="11963400" cy="581025"/>
    <xdr:sp>
      <xdr:nvSpPr>
        <xdr:cNvPr id="106" name="Shape 106"/>
        <xdr:cNvSpPr/>
      </xdr:nvSpPr>
      <xdr:spPr>
        <a:xfrm>
          <a:off x="0" y="3494250"/>
          <a:ext cx="10692000" cy="5715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20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29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29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4552950</xdr:colOff>
      <xdr:row>19</xdr:row>
      <xdr:rowOff>0</xdr:rowOff>
    </xdr:from>
    <xdr:ext cx="3295650" cy="581025"/>
    <xdr:sp>
      <xdr:nvSpPr>
        <xdr:cNvPr id="118" name="Shape 118"/>
        <xdr:cNvSpPr/>
      </xdr:nvSpPr>
      <xdr:spPr>
        <a:xfrm>
          <a:off x="3702938" y="3494250"/>
          <a:ext cx="3286125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4581525</xdr:colOff>
      <xdr:row>19</xdr:row>
      <xdr:rowOff>0</xdr:rowOff>
    </xdr:from>
    <xdr:ext cx="3257550" cy="581025"/>
    <xdr:sp>
      <xdr:nvSpPr>
        <xdr:cNvPr id="119" name="Shape 119"/>
        <xdr:cNvSpPr txBox="1"/>
      </xdr:nvSpPr>
      <xdr:spPr>
        <a:xfrm>
          <a:off x="3721988" y="3494250"/>
          <a:ext cx="3248025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19</xdr:row>
      <xdr:rowOff>0</xdr:rowOff>
    </xdr:from>
    <xdr:ext cx="8486775" cy="581025"/>
    <xdr:sp>
      <xdr:nvSpPr>
        <xdr:cNvPr id="120" name="Shape 120"/>
        <xdr:cNvSpPr txBox="1"/>
      </xdr:nvSpPr>
      <xdr:spPr>
        <a:xfrm>
          <a:off x="1107375" y="3494250"/>
          <a:ext cx="8477250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EGRESOS MERCADO PAGO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28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29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30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19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19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247650</xdr:colOff>
      <xdr:row>0</xdr:row>
      <xdr:rowOff>142875</xdr:rowOff>
    </xdr:from>
    <xdr:ext cx="1047750" cy="552450"/>
    <xdr:sp>
      <xdr:nvSpPr>
        <xdr:cNvPr id="121" name="Shape 121"/>
        <xdr:cNvSpPr/>
      </xdr:nvSpPr>
      <xdr:spPr>
        <a:xfrm>
          <a:off x="4826888" y="3508538"/>
          <a:ext cx="1038225" cy="542925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</xdr:col>
      <xdr:colOff>1028700</xdr:colOff>
      <xdr:row>0</xdr:row>
      <xdr:rowOff>142875</xdr:rowOff>
    </xdr:from>
    <xdr:ext cx="1000125" cy="552450"/>
    <xdr:sp>
      <xdr:nvSpPr>
        <xdr:cNvPr id="122" name="Shape 122"/>
        <xdr:cNvSpPr/>
      </xdr:nvSpPr>
      <xdr:spPr>
        <a:xfrm>
          <a:off x="4850700" y="3508538"/>
          <a:ext cx="990600" cy="542925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</xdr:col>
      <xdr:colOff>1019175</xdr:colOff>
      <xdr:row>0</xdr:row>
      <xdr:rowOff>161925</xdr:rowOff>
    </xdr:from>
    <xdr:ext cx="1038225" cy="542925"/>
    <xdr:sp>
      <xdr:nvSpPr>
        <xdr:cNvPr id="123" name="Shape 123"/>
        <xdr:cNvSpPr txBox="1"/>
      </xdr:nvSpPr>
      <xdr:spPr>
        <a:xfrm>
          <a:off x="4831650" y="3513300"/>
          <a:ext cx="1028700" cy="5334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219075</xdr:colOff>
      <xdr:row>0</xdr:row>
      <xdr:rowOff>152400</xdr:rowOff>
    </xdr:from>
    <xdr:ext cx="885825" cy="542925"/>
    <xdr:sp>
      <xdr:nvSpPr>
        <xdr:cNvPr id="124" name="Shape 124"/>
        <xdr:cNvSpPr txBox="1"/>
      </xdr:nvSpPr>
      <xdr:spPr>
        <a:xfrm>
          <a:off x="4907850" y="3513300"/>
          <a:ext cx="876300" cy="5334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TURNO</a:t>
          </a:r>
          <a:endParaRPr sz="1400"/>
        </a:p>
      </xdr:txBody>
    </xdr:sp>
    <xdr:clientData fLocksWithSheet="0"/>
  </xdr:oneCellAnchor>
  <xdr:oneCellAnchor>
    <xdr:from>
      <xdr:col>3</xdr:col>
      <xdr:colOff>38100</xdr:colOff>
      <xdr:row>0</xdr:row>
      <xdr:rowOff>142875</xdr:rowOff>
    </xdr:from>
    <xdr:ext cx="1381125" cy="276225"/>
    <xdr:sp>
      <xdr:nvSpPr>
        <xdr:cNvPr id="125" name="Shape 125"/>
        <xdr:cNvSpPr/>
      </xdr:nvSpPr>
      <xdr:spPr>
        <a:xfrm>
          <a:off x="4660200" y="3646650"/>
          <a:ext cx="1371600" cy="26670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0</xdr:colOff>
      <xdr:row>0</xdr:row>
      <xdr:rowOff>152400</xdr:rowOff>
    </xdr:from>
    <xdr:ext cx="1466850" cy="276225"/>
    <xdr:sp>
      <xdr:nvSpPr>
        <xdr:cNvPr id="126" name="Shape 126"/>
        <xdr:cNvSpPr txBox="1"/>
      </xdr:nvSpPr>
      <xdr:spPr>
        <a:xfrm>
          <a:off x="4617338" y="3646650"/>
          <a:ext cx="1457325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HS APERTURA</a:t>
          </a:r>
          <a:endParaRPr sz="1400"/>
        </a:p>
      </xdr:txBody>
    </xdr:sp>
    <xdr:clientData fLocksWithSheet="0"/>
  </xdr:oneCellAnchor>
  <xdr:oneCellAnchor>
    <xdr:from>
      <xdr:col>3</xdr:col>
      <xdr:colOff>38100</xdr:colOff>
      <xdr:row>2</xdr:row>
      <xdr:rowOff>57150</xdr:rowOff>
    </xdr:from>
    <xdr:ext cx="1381125" cy="276225"/>
    <xdr:sp>
      <xdr:nvSpPr>
        <xdr:cNvPr id="125" name="Shape 125"/>
        <xdr:cNvSpPr/>
      </xdr:nvSpPr>
      <xdr:spPr>
        <a:xfrm>
          <a:off x="4660200" y="3646650"/>
          <a:ext cx="1371600" cy="26670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4</xdr:col>
      <xdr:colOff>-19050</xdr:colOff>
      <xdr:row>2</xdr:row>
      <xdr:rowOff>57150</xdr:rowOff>
    </xdr:from>
    <xdr:ext cx="38100" cy="266700"/>
    <xdr:sp>
      <xdr:nvSpPr>
        <xdr:cNvPr id="127" name="Shape 127"/>
        <xdr:cNvSpPr txBox="1"/>
      </xdr:nvSpPr>
      <xdr:spPr>
        <a:xfrm>
          <a:off x="5346000" y="3646650"/>
          <a:ext cx="0" cy="2667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123825</xdr:colOff>
      <xdr:row>2</xdr:row>
      <xdr:rowOff>47625</xdr:rowOff>
    </xdr:from>
    <xdr:ext cx="1171575" cy="276225"/>
    <xdr:sp>
      <xdr:nvSpPr>
        <xdr:cNvPr id="128" name="Shape 128"/>
        <xdr:cNvSpPr txBox="1"/>
      </xdr:nvSpPr>
      <xdr:spPr>
        <a:xfrm>
          <a:off x="4764975" y="3646650"/>
          <a:ext cx="1162050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HS CIERRE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23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4495800</xdr:colOff>
      <xdr:row>5</xdr:row>
      <xdr:rowOff>0</xdr:rowOff>
    </xdr:from>
    <xdr:ext cx="3352800" cy="581025"/>
    <xdr:sp>
      <xdr:nvSpPr>
        <xdr:cNvPr id="129" name="Shape 129"/>
        <xdr:cNvSpPr/>
      </xdr:nvSpPr>
      <xdr:spPr>
        <a:xfrm>
          <a:off x="3674363" y="3494250"/>
          <a:ext cx="3343275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1466850</xdr:colOff>
      <xdr:row>0</xdr:row>
      <xdr:rowOff>142875</xdr:rowOff>
    </xdr:from>
    <xdr:ext cx="1219200" cy="276225"/>
    <xdr:sp>
      <xdr:nvSpPr>
        <xdr:cNvPr id="130" name="Shape 130"/>
        <xdr:cNvSpPr/>
      </xdr:nvSpPr>
      <xdr:spPr>
        <a:xfrm>
          <a:off x="4741163" y="3646650"/>
          <a:ext cx="1209675" cy="2667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1466850</xdr:colOff>
      <xdr:row>0</xdr:row>
      <xdr:rowOff>142875</xdr:rowOff>
    </xdr:from>
    <xdr:ext cx="1143000" cy="276225"/>
    <xdr:sp>
      <xdr:nvSpPr>
        <xdr:cNvPr id="131" name="Shape 131"/>
        <xdr:cNvSpPr txBox="1"/>
      </xdr:nvSpPr>
      <xdr:spPr>
        <a:xfrm>
          <a:off x="4779263" y="3646650"/>
          <a:ext cx="1133475" cy="2667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1466850</xdr:colOff>
      <xdr:row>2</xdr:row>
      <xdr:rowOff>57150</xdr:rowOff>
    </xdr:from>
    <xdr:ext cx="1219200" cy="276225"/>
    <xdr:sp>
      <xdr:nvSpPr>
        <xdr:cNvPr id="130" name="Shape 130"/>
        <xdr:cNvSpPr/>
      </xdr:nvSpPr>
      <xdr:spPr>
        <a:xfrm>
          <a:off x="4741163" y="3646650"/>
          <a:ext cx="1209675" cy="2667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1466850</xdr:colOff>
      <xdr:row>2</xdr:row>
      <xdr:rowOff>57150</xdr:rowOff>
    </xdr:from>
    <xdr:ext cx="1143000" cy="276225"/>
    <xdr:sp>
      <xdr:nvSpPr>
        <xdr:cNvPr id="132" name="Shape 132"/>
        <xdr:cNvSpPr txBox="1"/>
      </xdr:nvSpPr>
      <xdr:spPr>
        <a:xfrm>
          <a:off x="4779263" y="3646650"/>
          <a:ext cx="1133475" cy="2667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4524375</xdr:colOff>
      <xdr:row>5</xdr:row>
      <xdr:rowOff>0</xdr:rowOff>
    </xdr:from>
    <xdr:ext cx="3314700" cy="581025"/>
    <xdr:sp>
      <xdr:nvSpPr>
        <xdr:cNvPr id="133" name="Shape 133"/>
        <xdr:cNvSpPr txBox="1"/>
      </xdr:nvSpPr>
      <xdr:spPr>
        <a:xfrm>
          <a:off x="3693413" y="3494250"/>
          <a:ext cx="3305175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4</xdr:col>
      <xdr:colOff>0</xdr:colOff>
      <xdr:row>10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10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10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10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9</xdr:col>
      <xdr:colOff>57150</xdr:colOff>
      <xdr:row>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266700</xdr:colOff>
      <xdr:row>7</xdr:row>
      <xdr:rowOff>114300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161925</xdr:colOff>
      <xdr:row>7</xdr:row>
      <xdr:rowOff>66675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11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11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428625</xdr:colOff>
      <xdr:row>6</xdr:row>
      <xdr:rowOff>28575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28575</xdr:colOff>
      <xdr:row>7</xdr:row>
      <xdr:rowOff>47625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504825</xdr:colOff>
      <xdr:row>8</xdr:row>
      <xdr:rowOff>123825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123825</xdr:colOff>
      <xdr:row>8</xdr:row>
      <xdr:rowOff>142875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457200</xdr:colOff>
      <xdr:row>9</xdr:row>
      <xdr:rowOff>123825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12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13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14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16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0</xdr:colOff>
      <xdr:row>17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6457950</xdr:colOff>
      <xdr:row>1</xdr:row>
      <xdr:rowOff>0</xdr:rowOff>
    </xdr:from>
    <xdr:ext cx="1295400" cy="571500"/>
    <xdr:pic>
      <xdr:nvPicPr>
        <xdr:cNvPr id="0" name="image4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142875</xdr:rowOff>
    </xdr:from>
    <xdr:ext cx="12449175" cy="581025"/>
    <xdr:sp>
      <xdr:nvSpPr>
        <xdr:cNvPr id="135" name="Shape 135"/>
        <xdr:cNvSpPr/>
      </xdr:nvSpPr>
      <xdr:spPr>
        <a:xfrm>
          <a:off x="0" y="3494250"/>
          <a:ext cx="10692000" cy="571500"/>
        </a:xfrm>
        <a:prstGeom prst="roundRect">
          <a:avLst>
            <a:gd fmla="val 29227" name="adj"/>
          </a:avLst>
        </a:prstGeom>
        <a:solidFill>
          <a:srgbClr val="D0CECE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76200</xdr:colOff>
      <xdr:row>5</xdr:row>
      <xdr:rowOff>0</xdr:rowOff>
    </xdr:from>
    <xdr:ext cx="9677400" cy="581025"/>
    <xdr:sp>
      <xdr:nvSpPr>
        <xdr:cNvPr id="136" name="Shape 136"/>
        <xdr:cNvSpPr/>
      </xdr:nvSpPr>
      <xdr:spPr>
        <a:xfrm>
          <a:off x="512063" y="3494250"/>
          <a:ext cx="9667875" cy="5715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9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13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14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14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15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15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16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16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17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17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0</xdr:colOff>
      <xdr:row>0</xdr:row>
      <xdr:rowOff>142875</xdr:rowOff>
    </xdr:from>
    <xdr:ext cx="1447800" cy="581025"/>
    <xdr:sp>
      <xdr:nvSpPr>
        <xdr:cNvPr id="138" name="Shape 138"/>
        <xdr:cNvSpPr/>
      </xdr:nvSpPr>
      <xdr:spPr>
        <a:xfrm>
          <a:off x="4626863" y="3494250"/>
          <a:ext cx="1438275" cy="57150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</xdr:col>
      <xdr:colOff>962025</xdr:colOff>
      <xdr:row>0</xdr:row>
      <xdr:rowOff>142875</xdr:rowOff>
    </xdr:from>
    <xdr:ext cx="1400175" cy="581025"/>
    <xdr:sp>
      <xdr:nvSpPr>
        <xdr:cNvPr id="139" name="Shape 139"/>
        <xdr:cNvSpPr/>
      </xdr:nvSpPr>
      <xdr:spPr>
        <a:xfrm>
          <a:off x="4650675" y="3494250"/>
          <a:ext cx="139065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</xdr:col>
      <xdr:colOff>1000125</xdr:colOff>
      <xdr:row>0</xdr:row>
      <xdr:rowOff>161925</xdr:rowOff>
    </xdr:from>
    <xdr:ext cx="1266825" cy="571500"/>
    <xdr:sp>
      <xdr:nvSpPr>
        <xdr:cNvPr id="140" name="Shape 140"/>
        <xdr:cNvSpPr txBox="1"/>
      </xdr:nvSpPr>
      <xdr:spPr>
        <a:xfrm>
          <a:off x="4717350" y="3499013"/>
          <a:ext cx="1257300" cy="56197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28575</xdr:colOff>
      <xdr:row>0</xdr:row>
      <xdr:rowOff>152400</xdr:rowOff>
    </xdr:from>
    <xdr:ext cx="1047750" cy="571500"/>
    <xdr:sp>
      <xdr:nvSpPr>
        <xdr:cNvPr id="141" name="Shape 141"/>
        <xdr:cNvSpPr txBox="1"/>
      </xdr:nvSpPr>
      <xdr:spPr>
        <a:xfrm>
          <a:off x="4826888" y="3499013"/>
          <a:ext cx="1038225" cy="561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FECHA</a:t>
          </a:r>
          <a:endParaRPr sz="14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5</xdr:row>
      <xdr:rowOff>0</xdr:rowOff>
    </xdr:from>
    <xdr:ext cx="3429000" cy="581025"/>
    <xdr:sp>
      <xdr:nvSpPr>
        <xdr:cNvPr id="142" name="Shape 142"/>
        <xdr:cNvSpPr/>
      </xdr:nvSpPr>
      <xdr:spPr>
        <a:xfrm>
          <a:off x="3631500" y="3494250"/>
          <a:ext cx="342900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5</xdr:row>
      <xdr:rowOff>0</xdr:rowOff>
    </xdr:from>
    <xdr:ext cx="4429125" cy="581025"/>
    <xdr:sp>
      <xdr:nvSpPr>
        <xdr:cNvPr id="143" name="Shape 143"/>
        <xdr:cNvSpPr txBox="1"/>
      </xdr:nvSpPr>
      <xdr:spPr>
        <a:xfrm>
          <a:off x="3136200" y="3494250"/>
          <a:ext cx="4419600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5</xdr:row>
      <xdr:rowOff>0</xdr:rowOff>
    </xdr:from>
    <xdr:ext cx="7839075" cy="581025"/>
    <xdr:sp>
      <xdr:nvSpPr>
        <xdr:cNvPr id="144" name="Shape 144"/>
        <xdr:cNvSpPr txBox="1"/>
      </xdr:nvSpPr>
      <xdr:spPr>
        <a:xfrm>
          <a:off x="1431225" y="3494250"/>
          <a:ext cx="7829550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MERCADO PAGO NO CONCILIADO</a:t>
          </a:r>
          <a:endParaRPr sz="1400"/>
        </a:p>
      </xdr:txBody>
    </xdr:sp>
    <xdr:clientData fLocksWithSheet="0"/>
  </xdr:oneCellAnchor>
  <xdr:oneCellAnchor>
    <xdr:from>
      <xdr:col>6</xdr:col>
      <xdr:colOff>47625</xdr:colOff>
      <xdr:row>16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16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17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19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19</xdr:row>
      <xdr:rowOff>133350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1285875</xdr:colOff>
      <xdr:row>0</xdr:row>
      <xdr:rowOff>171450</xdr:rowOff>
    </xdr:from>
    <xdr:ext cx="3638550" cy="581025"/>
    <xdr:sp>
      <xdr:nvSpPr>
        <xdr:cNvPr id="145" name="Shape 145"/>
        <xdr:cNvSpPr txBox="1"/>
      </xdr:nvSpPr>
      <xdr:spPr>
        <a:xfrm>
          <a:off x="3531488" y="3494250"/>
          <a:ext cx="3629025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PARADOR</a:t>
          </a:r>
          <a:endParaRPr sz="14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6" name="Shape 14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20</xdr:row>
      <xdr:rowOff>0</xdr:rowOff>
    </xdr:from>
    <xdr:ext cx="190500" cy="266700"/>
    <xdr:sp>
      <xdr:nvSpPr>
        <xdr:cNvPr id="147" name="Shape 14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9</xdr:row>
      <xdr:rowOff>9525</xdr:rowOff>
    </xdr:from>
    <xdr:ext cx="6115050" cy="352425"/>
    <xdr:sp>
      <xdr:nvSpPr>
        <xdr:cNvPr id="149" name="Shape 149"/>
        <xdr:cNvSpPr/>
      </xdr:nvSpPr>
      <xdr:spPr>
        <a:xfrm>
          <a:off x="2293238" y="3608550"/>
          <a:ext cx="6105525" cy="3429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9</xdr:row>
      <xdr:rowOff>19050</xdr:rowOff>
    </xdr:from>
    <xdr:ext cx="4419600" cy="352425"/>
    <xdr:sp>
      <xdr:nvSpPr>
        <xdr:cNvPr id="150" name="Shape 150"/>
        <xdr:cNvSpPr txBox="1"/>
      </xdr:nvSpPr>
      <xdr:spPr>
        <a:xfrm>
          <a:off x="3140963" y="3608550"/>
          <a:ext cx="4410075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REAL NO CONCILIADO</a:t>
          </a:r>
          <a:endParaRPr sz="1400"/>
        </a:p>
      </xdr:txBody>
    </xdr:sp>
    <xdr:clientData fLocksWithSheet="0"/>
  </xdr:oneCellAnchor>
  <xdr:oneCellAnchor>
    <xdr:from>
      <xdr:col>5</xdr:col>
      <xdr:colOff>9525</xdr:colOff>
      <xdr:row>9</xdr:row>
      <xdr:rowOff>9525</xdr:rowOff>
    </xdr:from>
    <xdr:ext cx="6134100" cy="352425"/>
    <xdr:sp>
      <xdr:nvSpPr>
        <xdr:cNvPr id="151" name="Shape 151"/>
        <xdr:cNvSpPr/>
      </xdr:nvSpPr>
      <xdr:spPr>
        <a:xfrm>
          <a:off x="2283713" y="3608550"/>
          <a:ext cx="6124575" cy="3429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0</xdr:colOff>
      <xdr:row>9</xdr:row>
      <xdr:rowOff>9525</xdr:rowOff>
    </xdr:from>
    <xdr:ext cx="4410075" cy="352425"/>
    <xdr:sp>
      <xdr:nvSpPr>
        <xdr:cNvPr id="152" name="Shape 152"/>
        <xdr:cNvSpPr txBox="1"/>
      </xdr:nvSpPr>
      <xdr:spPr>
        <a:xfrm>
          <a:off x="3145725" y="3608550"/>
          <a:ext cx="4400550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 SISTEMA NO CONCILIADO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21</xdr:row>
      <xdr:rowOff>0</xdr:rowOff>
    </xdr:from>
    <xdr:ext cx="9677400" cy="581025"/>
    <xdr:sp>
      <xdr:nvSpPr>
        <xdr:cNvPr id="136" name="Shape 136"/>
        <xdr:cNvSpPr/>
      </xdr:nvSpPr>
      <xdr:spPr>
        <a:xfrm>
          <a:off x="512063" y="3494250"/>
          <a:ext cx="9667875" cy="5715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25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29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30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30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31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31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33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33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21</xdr:row>
      <xdr:rowOff>0</xdr:rowOff>
    </xdr:from>
    <xdr:ext cx="3429000" cy="581025"/>
    <xdr:sp>
      <xdr:nvSpPr>
        <xdr:cNvPr id="142" name="Shape 142"/>
        <xdr:cNvSpPr/>
      </xdr:nvSpPr>
      <xdr:spPr>
        <a:xfrm>
          <a:off x="3631500" y="3494250"/>
          <a:ext cx="342900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21</xdr:row>
      <xdr:rowOff>0</xdr:rowOff>
    </xdr:from>
    <xdr:ext cx="4419600" cy="581025"/>
    <xdr:sp>
      <xdr:nvSpPr>
        <xdr:cNvPr id="153" name="Shape 153"/>
        <xdr:cNvSpPr txBox="1"/>
      </xdr:nvSpPr>
      <xdr:spPr>
        <a:xfrm>
          <a:off x="3140963" y="3494250"/>
          <a:ext cx="4410075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21</xdr:row>
      <xdr:rowOff>0</xdr:rowOff>
    </xdr:from>
    <xdr:ext cx="8934450" cy="581025"/>
    <xdr:sp>
      <xdr:nvSpPr>
        <xdr:cNvPr id="154" name="Shape 154"/>
        <xdr:cNvSpPr txBox="1"/>
      </xdr:nvSpPr>
      <xdr:spPr>
        <a:xfrm>
          <a:off x="883538" y="3494250"/>
          <a:ext cx="8924925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GETNET NO CONCILIADO</a:t>
          </a:r>
          <a:endParaRPr sz="1400"/>
        </a:p>
      </xdr:txBody>
    </xdr:sp>
    <xdr:clientData fLocksWithSheet="0"/>
  </xdr:oneCellAnchor>
  <xdr:oneCellAnchor>
    <xdr:from>
      <xdr:col>6</xdr:col>
      <xdr:colOff>47625</xdr:colOff>
      <xdr:row>32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33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34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34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21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21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1609725</xdr:colOff>
      <xdr:row>9</xdr:row>
      <xdr:rowOff>19050</xdr:rowOff>
    </xdr:from>
    <xdr:ext cx="1819275" cy="352425"/>
    <xdr:sp>
      <xdr:nvSpPr>
        <xdr:cNvPr id="155" name="Shape 155"/>
        <xdr:cNvSpPr/>
      </xdr:nvSpPr>
      <xdr:spPr>
        <a:xfrm>
          <a:off x="4441125" y="3608550"/>
          <a:ext cx="1809750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1609725</xdr:colOff>
      <xdr:row>9</xdr:row>
      <xdr:rowOff>19050</xdr:rowOff>
    </xdr:from>
    <xdr:ext cx="1819275" cy="352425"/>
    <xdr:sp>
      <xdr:nvSpPr>
        <xdr:cNvPr id="156" name="Shape 156"/>
        <xdr:cNvSpPr txBox="1"/>
      </xdr:nvSpPr>
      <xdr:spPr>
        <a:xfrm>
          <a:off x="4441125" y="3608550"/>
          <a:ext cx="1809750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6</xdr:col>
      <xdr:colOff>1619250</xdr:colOff>
      <xdr:row>9</xdr:row>
      <xdr:rowOff>19050</xdr:rowOff>
    </xdr:from>
    <xdr:ext cx="1809750" cy="352425"/>
    <xdr:sp>
      <xdr:nvSpPr>
        <xdr:cNvPr id="157" name="Shape 157"/>
        <xdr:cNvSpPr/>
      </xdr:nvSpPr>
      <xdr:spPr>
        <a:xfrm>
          <a:off x="4445888" y="3608550"/>
          <a:ext cx="1800225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1619250</xdr:colOff>
      <xdr:row>9</xdr:row>
      <xdr:rowOff>19050</xdr:rowOff>
    </xdr:from>
    <xdr:ext cx="1809750" cy="352425"/>
    <xdr:sp>
      <xdr:nvSpPr>
        <xdr:cNvPr id="158" name="Shape 158"/>
        <xdr:cNvSpPr txBox="1"/>
      </xdr:nvSpPr>
      <xdr:spPr>
        <a:xfrm>
          <a:off x="4445888" y="3608550"/>
          <a:ext cx="1800225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28575</xdr:colOff>
      <xdr:row>25</xdr:row>
      <xdr:rowOff>9525</xdr:rowOff>
    </xdr:from>
    <xdr:ext cx="6115050" cy="361950"/>
    <xdr:sp>
      <xdr:nvSpPr>
        <xdr:cNvPr id="159" name="Shape 159"/>
        <xdr:cNvSpPr/>
      </xdr:nvSpPr>
      <xdr:spPr>
        <a:xfrm>
          <a:off x="2293238" y="3603788"/>
          <a:ext cx="6105525" cy="352425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25</xdr:row>
      <xdr:rowOff>9525</xdr:rowOff>
    </xdr:from>
    <xdr:ext cx="4419600" cy="352425"/>
    <xdr:sp>
      <xdr:nvSpPr>
        <xdr:cNvPr id="160" name="Shape 160"/>
        <xdr:cNvSpPr txBox="1"/>
      </xdr:nvSpPr>
      <xdr:spPr>
        <a:xfrm>
          <a:off x="3140963" y="3608550"/>
          <a:ext cx="4410075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REAL NO CONCILIADO</a:t>
          </a:r>
          <a:endParaRPr sz="1400"/>
        </a:p>
      </xdr:txBody>
    </xdr:sp>
    <xdr:clientData fLocksWithSheet="0"/>
  </xdr:oneCellAnchor>
  <xdr:oneCellAnchor>
    <xdr:from>
      <xdr:col>2</xdr:col>
      <xdr:colOff>1609725</xdr:colOff>
      <xdr:row>25</xdr:row>
      <xdr:rowOff>9525</xdr:rowOff>
    </xdr:from>
    <xdr:ext cx="1819275" cy="352425"/>
    <xdr:sp>
      <xdr:nvSpPr>
        <xdr:cNvPr id="155" name="Shape 155"/>
        <xdr:cNvSpPr/>
      </xdr:nvSpPr>
      <xdr:spPr>
        <a:xfrm>
          <a:off x="4441125" y="3608550"/>
          <a:ext cx="1809750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1609725</xdr:colOff>
      <xdr:row>25</xdr:row>
      <xdr:rowOff>9525</xdr:rowOff>
    </xdr:from>
    <xdr:ext cx="1819275" cy="352425"/>
    <xdr:sp>
      <xdr:nvSpPr>
        <xdr:cNvPr id="161" name="Shape 161"/>
        <xdr:cNvSpPr txBox="1"/>
      </xdr:nvSpPr>
      <xdr:spPr>
        <a:xfrm>
          <a:off x="4441125" y="3608550"/>
          <a:ext cx="1809750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2400300</xdr:colOff>
      <xdr:row>0</xdr:row>
      <xdr:rowOff>142875</xdr:rowOff>
    </xdr:from>
    <xdr:ext cx="1447800" cy="581025"/>
    <xdr:sp>
      <xdr:nvSpPr>
        <xdr:cNvPr id="138" name="Shape 138"/>
        <xdr:cNvSpPr/>
      </xdr:nvSpPr>
      <xdr:spPr>
        <a:xfrm>
          <a:off x="4626863" y="3494250"/>
          <a:ext cx="1438275" cy="57150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</xdr:col>
      <xdr:colOff>571500</xdr:colOff>
      <xdr:row>0</xdr:row>
      <xdr:rowOff>142875</xdr:rowOff>
    </xdr:from>
    <xdr:ext cx="1000125" cy="581025"/>
    <xdr:sp>
      <xdr:nvSpPr>
        <xdr:cNvPr id="162" name="Shape 162"/>
        <xdr:cNvSpPr/>
      </xdr:nvSpPr>
      <xdr:spPr>
        <a:xfrm>
          <a:off x="4850700" y="3494250"/>
          <a:ext cx="99060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</xdr:col>
      <xdr:colOff>590550</xdr:colOff>
      <xdr:row>0</xdr:row>
      <xdr:rowOff>161925</xdr:rowOff>
    </xdr:from>
    <xdr:ext cx="1000125" cy="571500"/>
    <xdr:sp>
      <xdr:nvSpPr>
        <xdr:cNvPr id="163" name="Shape 163"/>
        <xdr:cNvSpPr txBox="1"/>
      </xdr:nvSpPr>
      <xdr:spPr>
        <a:xfrm>
          <a:off x="4850700" y="3499013"/>
          <a:ext cx="990600" cy="56197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2428875</xdr:colOff>
      <xdr:row>0</xdr:row>
      <xdr:rowOff>152400</xdr:rowOff>
    </xdr:from>
    <xdr:ext cx="838200" cy="571500"/>
    <xdr:sp>
      <xdr:nvSpPr>
        <xdr:cNvPr id="164" name="Shape 164"/>
        <xdr:cNvSpPr txBox="1"/>
      </xdr:nvSpPr>
      <xdr:spPr>
        <a:xfrm>
          <a:off x="4931663" y="3499013"/>
          <a:ext cx="828675" cy="561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TURNO</a:t>
          </a:r>
          <a:endParaRPr sz="1400"/>
        </a:p>
      </xdr:txBody>
    </xdr:sp>
    <xdr:clientData fLocksWithSheet="0"/>
  </xdr:oneCellAnchor>
  <xdr:oneCellAnchor>
    <xdr:from>
      <xdr:col>2</xdr:col>
      <xdr:colOff>1600200</xdr:colOff>
      <xdr:row>0</xdr:row>
      <xdr:rowOff>142875</xdr:rowOff>
    </xdr:from>
    <xdr:ext cx="1733550" cy="295275"/>
    <xdr:sp>
      <xdr:nvSpPr>
        <xdr:cNvPr id="165" name="Shape 165"/>
        <xdr:cNvSpPr/>
      </xdr:nvSpPr>
      <xdr:spPr>
        <a:xfrm>
          <a:off x="4483988" y="3637125"/>
          <a:ext cx="1724025" cy="28575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1619250</xdr:colOff>
      <xdr:row>0</xdr:row>
      <xdr:rowOff>142875</xdr:rowOff>
    </xdr:from>
    <xdr:ext cx="1228725" cy="295275"/>
    <xdr:sp>
      <xdr:nvSpPr>
        <xdr:cNvPr id="166" name="Shape 166"/>
        <xdr:cNvSpPr/>
      </xdr:nvSpPr>
      <xdr:spPr>
        <a:xfrm>
          <a:off x="4736400" y="3637125"/>
          <a:ext cx="1219200" cy="28575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1619250</xdr:colOff>
      <xdr:row>0</xdr:row>
      <xdr:rowOff>142875</xdr:rowOff>
    </xdr:from>
    <xdr:ext cx="1152525" cy="295275"/>
    <xdr:sp>
      <xdr:nvSpPr>
        <xdr:cNvPr id="167" name="Shape 167"/>
        <xdr:cNvSpPr txBox="1"/>
      </xdr:nvSpPr>
      <xdr:spPr>
        <a:xfrm>
          <a:off x="4774500" y="3637125"/>
          <a:ext cx="1143000" cy="28575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1676400</xdr:colOff>
      <xdr:row>0</xdr:row>
      <xdr:rowOff>142875</xdr:rowOff>
    </xdr:from>
    <xdr:ext cx="1600200" cy="295275"/>
    <xdr:sp>
      <xdr:nvSpPr>
        <xdr:cNvPr id="168" name="Shape 168"/>
        <xdr:cNvSpPr txBox="1"/>
      </xdr:nvSpPr>
      <xdr:spPr>
        <a:xfrm>
          <a:off x="4550663" y="3637125"/>
          <a:ext cx="1590675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HS APERTURA</a:t>
          </a:r>
          <a:endParaRPr sz="1400"/>
        </a:p>
      </xdr:txBody>
    </xdr:sp>
    <xdr:clientData fLocksWithSheet="0"/>
  </xdr:oneCellAnchor>
  <xdr:oneCellAnchor>
    <xdr:from>
      <xdr:col>2</xdr:col>
      <xdr:colOff>1600200</xdr:colOff>
      <xdr:row>2</xdr:row>
      <xdr:rowOff>57150</xdr:rowOff>
    </xdr:from>
    <xdr:ext cx="1743075" cy="285750"/>
    <xdr:sp>
      <xdr:nvSpPr>
        <xdr:cNvPr id="169" name="Shape 169"/>
        <xdr:cNvSpPr/>
      </xdr:nvSpPr>
      <xdr:spPr>
        <a:xfrm>
          <a:off x="4479225" y="3641888"/>
          <a:ext cx="1733550" cy="276225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1619250</xdr:colOff>
      <xdr:row>2</xdr:row>
      <xdr:rowOff>57150</xdr:rowOff>
    </xdr:from>
    <xdr:ext cx="1228725" cy="285750"/>
    <xdr:sp>
      <xdr:nvSpPr>
        <xdr:cNvPr id="170" name="Shape 170"/>
        <xdr:cNvSpPr/>
      </xdr:nvSpPr>
      <xdr:spPr>
        <a:xfrm>
          <a:off x="4736400" y="3641888"/>
          <a:ext cx="1219200" cy="276225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1619250</xdr:colOff>
      <xdr:row>2</xdr:row>
      <xdr:rowOff>57150</xdr:rowOff>
    </xdr:from>
    <xdr:ext cx="1152525" cy="285750"/>
    <xdr:sp>
      <xdr:nvSpPr>
        <xdr:cNvPr id="171" name="Shape 171"/>
        <xdr:cNvSpPr txBox="1"/>
      </xdr:nvSpPr>
      <xdr:spPr>
        <a:xfrm>
          <a:off x="4774500" y="3641888"/>
          <a:ext cx="1143000" cy="27622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1685925</xdr:colOff>
      <xdr:row>2</xdr:row>
      <xdr:rowOff>57150</xdr:rowOff>
    </xdr:from>
    <xdr:ext cx="1666875" cy="285750"/>
    <xdr:sp>
      <xdr:nvSpPr>
        <xdr:cNvPr id="172" name="Shape 172"/>
        <xdr:cNvSpPr txBox="1"/>
      </xdr:nvSpPr>
      <xdr:spPr>
        <a:xfrm>
          <a:off x="4517325" y="3641888"/>
          <a:ext cx="1657350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HS CIERRE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25</xdr:row>
      <xdr:rowOff>9525</xdr:rowOff>
    </xdr:from>
    <xdr:ext cx="7134225" cy="352425"/>
    <xdr:sp>
      <xdr:nvSpPr>
        <xdr:cNvPr id="173" name="Shape 173"/>
        <xdr:cNvSpPr/>
      </xdr:nvSpPr>
      <xdr:spPr>
        <a:xfrm>
          <a:off x="1783650" y="3608550"/>
          <a:ext cx="7124700" cy="3429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0</xdr:colOff>
      <xdr:row>25</xdr:row>
      <xdr:rowOff>9525</xdr:rowOff>
    </xdr:from>
    <xdr:ext cx="4457700" cy="352425"/>
    <xdr:sp>
      <xdr:nvSpPr>
        <xdr:cNvPr id="174" name="Shape 174"/>
        <xdr:cNvSpPr txBox="1"/>
      </xdr:nvSpPr>
      <xdr:spPr>
        <a:xfrm>
          <a:off x="3121913" y="3608550"/>
          <a:ext cx="4448175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 SISTEMA NO CONCILIADO</a:t>
          </a:r>
          <a:endParaRPr sz="1400"/>
        </a:p>
      </xdr:txBody>
    </xdr:sp>
    <xdr:clientData fLocksWithSheet="0"/>
  </xdr:oneCellAnchor>
  <xdr:oneCellAnchor>
    <xdr:from>
      <xdr:col>6</xdr:col>
      <xdr:colOff>1619250</xdr:colOff>
      <xdr:row>25</xdr:row>
      <xdr:rowOff>19050</xdr:rowOff>
    </xdr:from>
    <xdr:ext cx="1809750" cy="352425"/>
    <xdr:sp>
      <xdr:nvSpPr>
        <xdr:cNvPr id="157" name="Shape 157"/>
        <xdr:cNvSpPr/>
      </xdr:nvSpPr>
      <xdr:spPr>
        <a:xfrm>
          <a:off x="4445888" y="3608550"/>
          <a:ext cx="1800225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1619250</xdr:colOff>
      <xdr:row>25</xdr:row>
      <xdr:rowOff>19050</xdr:rowOff>
    </xdr:from>
    <xdr:ext cx="1809750" cy="352425"/>
    <xdr:sp>
      <xdr:nvSpPr>
        <xdr:cNvPr id="175" name="Shape 175"/>
        <xdr:cNvSpPr txBox="1"/>
      </xdr:nvSpPr>
      <xdr:spPr>
        <a:xfrm>
          <a:off x="4445888" y="3608550"/>
          <a:ext cx="1800225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76200</xdr:colOff>
      <xdr:row>53</xdr:row>
      <xdr:rowOff>0</xdr:rowOff>
    </xdr:from>
    <xdr:ext cx="9677400" cy="581025"/>
    <xdr:sp>
      <xdr:nvSpPr>
        <xdr:cNvPr id="136" name="Shape 136"/>
        <xdr:cNvSpPr/>
      </xdr:nvSpPr>
      <xdr:spPr>
        <a:xfrm>
          <a:off x="512063" y="3494250"/>
          <a:ext cx="9667875" cy="5715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54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61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62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63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63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64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64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65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65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53</xdr:row>
      <xdr:rowOff>0</xdr:rowOff>
    </xdr:from>
    <xdr:ext cx="3429000" cy="581025"/>
    <xdr:sp>
      <xdr:nvSpPr>
        <xdr:cNvPr id="142" name="Shape 142"/>
        <xdr:cNvSpPr/>
      </xdr:nvSpPr>
      <xdr:spPr>
        <a:xfrm>
          <a:off x="3631500" y="3494250"/>
          <a:ext cx="342900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53</xdr:row>
      <xdr:rowOff>0</xdr:rowOff>
    </xdr:from>
    <xdr:ext cx="4419600" cy="581025"/>
    <xdr:sp>
      <xdr:nvSpPr>
        <xdr:cNvPr id="176" name="Shape 176"/>
        <xdr:cNvSpPr txBox="1"/>
      </xdr:nvSpPr>
      <xdr:spPr>
        <a:xfrm>
          <a:off x="3140963" y="3494250"/>
          <a:ext cx="4410075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53</xdr:row>
      <xdr:rowOff>0</xdr:rowOff>
    </xdr:from>
    <xdr:ext cx="8934450" cy="581025"/>
    <xdr:sp>
      <xdr:nvSpPr>
        <xdr:cNvPr id="177" name="Shape 177"/>
        <xdr:cNvSpPr txBox="1"/>
      </xdr:nvSpPr>
      <xdr:spPr>
        <a:xfrm>
          <a:off x="883538" y="3494250"/>
          <a:ext cx="8924925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EFECTIVO Y CTA CTE</a:t>
          </a: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</a:t>
          </a: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CONCILIADO</a:t>
          </a:r>
          <a:endParaRPr sz="1400"/>
        </a:p>
      </xdr:txBody>
    </xdr:sp>
    <xdr:clientData fLocksWithSheet="0"/>
  </xdr:oneCellAnchor>
  <xdr:oneCellAnchor>
    <xdr:from>
      <xdr:col>6</xdr:col>
      <xdr:colOff>47625</xdr:colOff>
      <xdr:row>64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64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65</xdr:row>
      <xdr:rowOff>133350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66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66</xdr:row>
      <xdr:rowOff>133350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53</xdr:row>
      <xdr:rowOff>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53</xdr:row>
      <xdr:rowOff>0</xdr:rowOff>
    </xdr:from>
    <xdr:ext cx="190500" cy="266700"/>
    <xdr:sp>
      <xdr:nvSpPr>
        <xdr:cNvPr id="148" name="Shape 14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53</xdr:row>
      <xdr:rowOff>0</xdr:rowOff>
    </xdr:from>
    <xdr:ext cx="190500" cy="266700"/>
    <xdr:sp>
      <xdr:nvSpPr>
        <xdr:cNvPr id="137" name="Shape 13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57</xdr:row>
      <xdr:rowOff>9525</xdr:rowOff>
    </xdr:from>
    <xdr:ext cx="6115050" cy="361950"/>
    <xdr:sp>
      <xdr:nvSpPr>
        <xdr:cNvPr id="159" name="Shape 159"/>
        <xdr:cNvSpPr/>
      </xdr:nvSpPr>
      <xdr:spPr>
        <a:xfrm>
          <a:off x="2293238" y="3603788"/>
          <a:ext cx="6105525" cy="352425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57</xdr:row>
      <xdr:rowOff>9525</xdr:rowOff>
    </xdr:from>
    <xdr:ext cx="4419600" cy="352425"/>
    <xdr:sp>
      <xdr:nvSpPr>
        <xdr:cNvPr id="178" name="Shape 178"/>
        <xdr:cNvSpPr txBox="1"/>
      </xdr:nvSpPr>
      <xdr:spPr>
        <a:xfrm>
          <a:off x="3140963" y="3608550"/>
          <a:ext cx="4410075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EFECTIVO CONCILIADO</a:t>
          </a:r>
          <a:endParaRPr sz="1400"/>
        </a:p>
      </xdr:txBody>
    </xdr:sp>
    <xdr:clientData fLocksWithSheet="0"/>
  </xdr:oneCellAnchor>
  <xdr:oneCellAnchor>
    <xdr:from>
      <xdr:col>2</xdr:col>
      <xdr:colOff>1609725</xdr:colOff>
      <xdr:row>57</xdr:row>
      <xdr:rowOff>9525</xdr:rowOff>
    </xdr:from>
    <xdr:ext cx="1819275" cy="352425"/>
    <xdr:sp>
      <xdr:nvSpPr>
        <xdr:cNvPr id="155" name="Shape 155"/>
        <xdr:cNvSpPr/>
      </xdr:nvSpPr>
      <xdr:spPr>
        <a:xfrm>
          <a:off x="4441125" y="3608550"/>
          <a:ext cx="1809750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1609725</xdr:colOff>
      <xdr:row>57</xdr:row>
      <xdr:rowOff>9525</xdr:rowOff>
    </xdr:from>
    <xdr:ext cx="1819275" cy="352425"/>
    <xdr:sp>
      <xdr:nvSpPr>
        <xdr:cNvPr id="179" name="Shape 179"/>
        <xdr:cNvSpPr txBox="1"/>
      </xdr:nvSpPr>
      <xdr:spPr>
        <a:xfrm>
          <a:off x="4441125" y="3608550"/>
          <a:ext cx="1809750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5</xdr:col>
      <xdr:colOff>0</xdr:colOff>
      <xdr:row>57</xdr:row>
      <xdr:rowOff>9525</xdr:rowOff>
    </xdr:from>
    <xdr:ext cx="6143625" cy="352425"/>
    <xdr:sp>
      <xdr:nvSpPr>
        <xdr:cNvPr id="180" name="Shape 180"/>
        <xdr:cNvSpPr/>
      </xdr:nvSpPr>
      <xdr:spPr>
        <a:xfrm>
          <a:off x="2274188" y="3608550"/>
          <a:ext cx="6143625" cy="3429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0</xdr:colOff>
      <xdr:row>57</xdr:row>
      <xdr:rowOff>9525</xdr:rowOff>
    </xdr:from>
    <xdr:ext cx="4448175" cy="352425"/>
    <xdr:sp>
      <xdr:nvSpPr>
        <xdr:cNvPr id="181" name="Shape 181"/>
        <xdr:cNvSpPr txBox="1"/>
      </xdr:nvSpPr>
      <xdr:spPr>
        <a:xfrm>
          <a:off x="3126675" y="3608550"/>
          <a:ext cx="4438650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 CTA CTE CONCILIADO</a:t>
          </a:r>
          <a:endParaRPr sz="1400"/>
        </a:p>
      </xdr:txBody>
    </xdr:sp>
    <xdr:clientData fLocksWithSheet="0"/>
  </xdr:oneCellAnchor>
  <xdr:oneCellAnchor>
    <xdr:from>
      <xdr:col>6</xdr:col>
      <xdr:colOff>1619250</xdr:colOff>
      <xdr:row>57</xdr:row>
      <xdr:rowOff>19050</xdr:rowOff>
    </xdr:from>
    <xdr:ext cx="1809750" cy="352425"/>
    <xdr:sp>
      <xdr:nvSpPr>
        <xdr:cNvPr id="182" name="Shape 182"/>
        <xdr:cNvSpPr/>
      </xdr:nvSpPr>
      <xdr:spPr>
        <a:xfrm>
          <a:off x="4445888" y="3608550"/>
          <a:ext cx="1800225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1619250</xdr:colOff>
      <xdr:row>57</xdr:row>
      <xdr:rowOff>19050</xdr:rowOff>
    </xdr:from>
    <xdr:ext cx="1809750" cy="352425"/>
    <xdr:sp>
      <xdr:nvSpPr>
        <xdr:cNvPr id="183" name="Shape 183"/>
        <xdr:cNvSpPr txBox="1"/>
      </xdr:nvSpPr>
      <xdr:spPr>
        <a:xfrm>
          <a:off x="4445888" y="3608550"/>
          <a:ext cx="1800225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36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76200</xdr:colOff>
      <xdr:row>37</xdr:row>
      <xdr:rowOff>0</xdr:rowOff>
    </xdr:from>
    <xdr:ext cx="9677400" cy="581025"/>
    <xdr:sp>
      <xdr:nvSpPr>
        <xdr:cNvPr id="136" name="Shape 136"/>
        <xdr:cNvSpPr/>
      </xdr:nvSpPr>
      <xdr:spPr>
        <a:xfrm>
          <a:off x="512063" y="3494250"/>
          <a:ext cx="9667875" cy="5715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38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41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49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49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37</xdr:row>
      <xdr:rowOff>0</xdr:rowOff>
    </xdr:from>
    <xdr:ext cx="3429000" cy="581025"/>
    <xdr:sp>
      <xdr:nvSpPr>
        <xdr:cNvPr id="142" name="Shape 142"/>
        <xdr:cNvSpPr/>
      </xdr:nvSpPr>
      <xdr:spPr>
        <a:xfrm>
          <a:off x="3631500" y="3494250"/>
          <a:ext cx="342900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0</xdr:colOff>
      <xdr:row>37</xdr:row>
      <xdr:rowOff>0</xdr:rowOff>
    </xdr:from>
    <xdr:ext cx="4419600" cy="581025"/>
    <xdr:sp>
      <xdr:nvSpPr>
        <xdr:cNvPr id="184" name="Shape 184"/>
        <xdr:cNvSpPr txBox="1"/>
      </xdr:nvSpPr>
      <xdr:spPr>
        <a:xfrm>
          <a:off x="3140963" y="3494250"/>
          <a:ext cx="4410075" cy="5715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32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37</xdr:row>
      <xdr:rowOff>0</xdr:rowOff>
    </xdr:from>
    <xdr:ext cx="8934450" cy="581025"/>
    <xdr:sp>
      <xdr:nvSpPr>
        <xdr:cNvPr id="185" name="Shape 185"/>
        <xdr:cNvSpPr txBox="1"/>
      </xdr:nvSpPr>
      <xdr:spPr>
        <a:xfrm>
          <a:off x="883538" y="3494250"/>
          <a:ext cx="8924925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PEDIDOS</a:t>
          </a: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YA</a:t>
          </a: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NO CONCILIADO</a:t>
          </a:r>
          <a:endParaRPr sz="1400"/>
        </a:p>
      </xdr:txBody>
    </xdr:sp>
    <xdr:clientData fLocksWithSheet="0"/>
  </xdr:oneCellAnchor>
  <xdr:oneCellAnchor>
    <xdr:from>
      <xdr:col>6</xdr:col>
      <xdr:colOff>47625</xdr:colOff>
      <xdr:row>48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48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49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50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50</xdr:row>
      <xdr:rowOff>133350</xdr:rowOff>
    </xdr:from>
    <xdr:ext cx="190500" cy="266700"/>
    <xdr:sp>
      <xdr:nvSpPr>
        <xdr:cNvPr id="117" name="Shape 11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37</xdr:row>
      <xdr:rowOff>0</xdr:rowOff>
    </xdr:from>
    <xdr:ext cx="190500" cy="266700"/>
    <xdr:sp>
      <xdr:nvSpPr>
        <xdr:cNvPr id="134" name="Shape 13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37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41</xdr:row>
      <xdr:rowOff>9525</xdr:rowOff>
    </xdr:from>
    <xdr:ext cx="6115050" cy="361950"/>
    <xdr:sp>
      <xdr:nvSpPr>
        <xdr:cNvPr id="186" name="Shape 186"/>
        <xdr:cNvSpPr/>
      </xdr:nvSpPr>
      <xdr:spPr>
        <a:xfrm>
          <a:off x="2293238" y="3603788"/>
          <a:ext cx="6105525" cy="352425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41</xdr:row>
      <xdr:rowOff>9525</xdr:rowOff>
    </xdr:from>
    <xdr:ext cx="4419600" cy="352425"/>
    <xdr:sp>
      <xdr:nvSpPr>
        <xdr:cNvPr id="187" name="Shape 187"/>
        <xdr:cNvSpPr txBox="1"/>
      </xdr:nvSpPr>
      <xdr:spPr>
        <a:xfrm>
          <a:off x="3140963" y="3608550"/>
          <a:ext cx="4410075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 </a:t>
          </a: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REAL NO CONCILIADO</a:t>
          </a:r>
          <a:endParaRPr sz="1400"/>
        </a:p>
      </xdr:txBody>
    </xdr:sp>
    <xdr:clientData fLocksWithSheet="0"/>
  </xdr:oneCellAnchor>
  <xdr:oneCellAnchor>
    <xdr:from>
      <xdr:col>2</xdr:col>
      <xdr:colOff>1609725</xdr:colOff>
      <xdr:row>41</xdr:row>
      <xdr:rowOff>9525</xdr:rowOff>
    </xdr:from>
    <xdr:ext cx="1819275" cy="352425"/>
    <xdr:sp>
      <xdr:nvSpPr>
        <xdr:cNvPr id="155" name="Shape 155"/>
        <xdr:cNvSpPr/>
      </xdr:nvSpPr>
      <xdr:spPr>
        <a:xfrm>
          <a:off x="4441125" y="3608550"/>
          <a:ext cx="1809750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1609725</xdr:colOff>
      <xdr:row>41</xdr:row>
      <xdr:rowOff>9525</xdr:rowOff>
    </xdr:from>
    <xdr:ext cx="1819275" cy="352425"/>
    <xdr:sp>
      <xdr:nvSpPr>
        <xdr:cNvPr id="188" name="Shape 188"/>
        <xdr:cNvSpPr txBox="1"/>
      </xdr:nvSpPr>
      <xdr:spPr>
        <a:xfrm>
          <a:off x="4441125" y="3608550"/>
          <a:ext cx="1809750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5</xdr:col>
      <xdr:colOff>0</xdr:colOff>
      <xdr:row>41</xdr:row>
      <xdr:rowOff>9525</xdr:rowOff>
    </xdr:from>
    <xdr:ext cx="7134225" cy="352425"/>
    <xdr:sp>
      <xdr:nvSpPr>
        <xdr:cNvPr id="173" name="Shape 173"/>
        <xdr:cNvSpPr/>
      </xdr:nvSpPr>
      <xdr:spPr>
        <a:xfrm>
          <a:off x="1783650" y="3608550"/>
          <a:ext cx="7124700" cy="342900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0</xdr:colOff>
      <xdr:row>41</xdr:row>
      <xdr:rowOff>9525</xdr:rowOff>
    </xdr:from>
    <xdr:ext cx="4410075" cy="352425"/>
    <xdr:sp>
      <xdr:nvSpPr>
        <xdr:cNvPr id="189" name="Shape 189"/>
        <xdr:cNvSpPr txBox="1"/>
      </xdr:nvSpPr>
      <xdr:spPr>
        <a:xfrm>
          <a:off x="3145725" y="3608550"/>
          <a:ext cx="4400550" cy="3429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8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TOTAL SISTEMA NO CONCILIADO</a:t>
          </a:r>
          <a:endParaRPr sz="1400"/>
        </a:p>
      </xdr:txBody>
    </xdr:sp>
    <xdr:clientData fLocksWithSheet="0"/>
  </xdr:oneCellAnchor>
  <xdr:oneCellAnchor>
    <xdr:from>
      <xdr:col>6</xdr:col>
      <xdr:colOff>1619250</xdr:colOff>
      <xdr:row>41</xdr:row>
      <xdr:rowOff>19050</xdr:rowOff>
    </xdr:from>
    <xdr:ext cx="1809750" cy="352425"/>
    <xdr:sp>
      <xdr:nvSpPr>
        <xdr:cNvPr id="190" name="Shape 190"/>
        <xdr:cNvSpPr/>
      </xdr:nvSpPr>
      <xdr:spPr>
        <a:xfrm>
          <a:off x="4445888" y="3608550"/>
          <a:ext cx="1800225" cy="3429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1619250</xdr:colOff>
      <xdr:row>41</xdr:row>
      <xdr:rowOff>19050</xdr:rowOff>
    </xdr:from>
    <xdr:ext cx="1809750" cy="352425"/>
    <xdr:sp>
      <xdr:nvSpPr>
        <xdr:cNvPr id="191" name="Shape 191"/>
        <xdr:cNvSpPr txBox="1"/>
      </xdr:nvSpPr>
      <xdr:spPr>
        <a:xfrm>
          <a:off x="4445888" y="3608550"/>
          <a:ext cx="1800225" cy="34290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8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7</xdr:col>
      <xdr:colOff>381000</xdr:colOff>
      <xdr:row>0</xdr:row>
      <xdr:rowOff>180975</xdr:rowOff>
    </xdr:from>
    <xdr:ext cx="1295400" cy="571500"/>
    <xdr:pic>
      <xdr:nvPicPr>
        <xdr:cNvPr id="0" name="image4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142875</xdr:rowOff>
    </xdr:from>
    <xdr:ext cx="12715875" cy="581025"/>
    <xdr:sp>
      <xdr:nvSpPr>
        <xdr:cNvPr id="135" name="Shape 135"/>
        <xdr:cNvSpPr/>
      </xdr:nvSpPr>
      <xdr:spPr>
        <a:xfrm>
          <a:off x="0" y="3494250"/>
          <a:ext cx="10692000" cy="571500"/>
        </a:xfrm>
        <a:prstGeom prst="roundRect">
          <a:avLst>
            <a:gd fmla="val 29227" name="adj"/>
          </a:avLst>
        </a:prstGeom>
        <a:solidFill>
          <a:srgbClr val="D0CECE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76200</xdr:colOff>
      <xdr:row>5</xdr:row>
      <xdr:rowOff>0</xdr:rowOff>
    </xdr:from>
    <xdr:ext cx="9705975" cy="542925"/>
    <xdr:sp>
      <xdr:nvSpPr>
        <xdr:cNvPr id="192" name="Shape 192"/>
        <xdr:cNvSpPr/>
      </xdr:nvSpPr>
      <xdr:spPr>
        <a:xfrm>
          <a:off x="497775" y="3508538"/>
          <a:ext cx="9696450" cy="542925"/>
        </a:xfrm>
        <a:prstGeom prst="roundRect">
          <a:avLst>
            <a:gd fmla="val 33334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7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11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12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12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13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13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0</xdr:colOff>
      <xdr:row>0</xdr:row>
      <xdr:rowOff>142875</xdr:rowOff>
    </xdr:from>
    <xdr:ext cx="1447800" cy="581025"/>
    <xdr:sp>
      <xdr:nvSpPr>
        <xdr:cNvPr id="138" name="Shape 138"/>
        <xdr:cNvSpPr/>
      </xdr:nvSpPr>
      <xdr:spPr>
        <a:xfrm>
          <a:off x="4626863" y="3494250"/>
          <a:ext cx="1438275" cy="57150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</xdr:col>
      <xdr:colOff>952500</xdr:colOff>
      <xdr:row>0</xdr:row>
      <xdr:rowOff>142875</xdr:rowOff>
    </xdr:from>
    <xdr:ext cx="1247775" cy="581025"/>
    <xdr:sp>
      <xdr:nvSpPr>
        <xdr:cNvPr id="193" name="Shape 193"/>
        <xdr:cNvSpPr/>
      </xdr:nvSpPr>
      <xdr:spPr>
        <a:xfrm>
          <a:off x="4726875" y="3494250"/>
          <a:ext cx="1238250" cy="57150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1</xdr:col>
      <xdr:colOff>952500</xdr:colOff>
      <xdr:row>0</xdr:row>
      <xdr:rowOff>161925</xdr:rowOff>
    </xdr:from>
    <xdr:ext cx="1276350" cy="571500"/>
    <xdr:sp>
      <xdr:nvSpPr>
        <xdr:cNvPr id="194" name="Shape 194"/>
        <xdr:cNvSpPr txBox="1"/>
      </xdr:nvSpPr>
      <xdr:spPr>
        <a:xfrm>
          <a:off x="4712588" y="3499013"/>
          <a:ext cx="1266825" cy="56197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28575</xdr:colOff>
      <xdr:row>0</xdr:row>
      <xdr:rowOff>152400</xdr:rowOff>
    </xdr:from>
    <xdr:ext cx="990600" cy="571500"/>
    <xdr:sp>
      <xdr:nvSpPr>
        <xdr:cNvPr id="195" name="Shape 195"/>
        <xdr:cNvSpPr txBox="1"/>
      </xdr:nvSpPr>
      <xdr:spPr>
        <a:xfrm>
          <a:off x="4855463" y="3499013"/>
          <a:ext cx="981075" cy="561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FECHA</a:t>
          </a:r>
          <a:endParaRPr sz="14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0</xdr:colOff>
      <xdr:row>5</xdr:row>
      <xdr:rowOff>0</xdr:rowOff>
    </xdr:from>
    <xdr:ext cx="3667125" cy="542925"/>
    <xdr:sp>
      <xdr:nvSpPr>
        <xdr:cNvPr id="196" name="Shape 196"/>
        <xdr:cNvSpPr/>
      </xdr:nvSpPr>
      <xdr:spPr>
        <a:xfrm>
          <a:off x="3512438" y="3508538"/>
          <a:ext cx="3667125" cy="542925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0</xdr:colOff>
      <xdr:row>5</xdr:row>
      <xdr:rowOff>0</xdr:rowOff>
    </xdr:from>
    <xdr:ext cx="4286250" cy="542925"/>
    <xdr:sp>
      <xdr:nvSpPr>
        <xdr:cNvPr id="197" name="Shape 197"/>
        <xdr:cNvSpPr txBox="1"/>
      </xdr:nvSpPr>
      <xdr:spPr>
        <a:xfrm>
          <a:off x="3207638" y="3508538"/>
          <a:ext cx="4276725" cy="54292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80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1</xdr:col>
      <xdr:colOff>152400</xdr:colOff>
      <xdr:row>5</xdr:row>
      <xdr:rowOff>0</xdr:rowOff>
    </xdr:from>
    <xdr:ext cx="7820025" cy="542925"/>
    <xdr:sp>
      <xdr:nvSpPr>
        <xdr:cNvPr id="198" name="Shape 198"/>
        <xdr:cNvSpPr txBox="1"/>
      </xdr:nvSpPr>
      <xdr:spPr>
        <a:xfrm>
          <a:off x="1440750" y="3508538"/>
          <a:ext cx="7810500" cy="5429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ANULACIONES</a:t>
          </a:r>
          <a:endParaRPr sz="1400"/>
        </a:p>
      </xdr:txBody>
    </xdr:sp>
    <xdr:clientData fLocksWithSheet="0"/>
  </xdr:oneCellAnchor>
  <xdr:oneCellAnchor>
    <xdr:from>
      <xdr:col>5</xdr:col>
      <xdr:colOff>47625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14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15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16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17</xdr:row>
      <xdr:rowOff>133350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4</xdr:col>
      <xdr:colOff>1323975</xdr:colOff>
      <xdr:row>0</xdr:row>
      <xdr:rowOff>171450</xdr:rowOff>
    </xdr:from>
    <xdr:ext cx="3857625" cy="581025"/>
    <xdr:sp>
      <xdr:nvSpPr>
        <xdr:cNvPr id="199" name="Shape 199"/>
        <xdr:cNvSpPr txBox="1"/>
      </xdr:nvSpPr>
      <xdr:spPr>
        <a:xfrm>
          <a:off x="3421950" y="3494250"/>
          <a:ext cx="3848100" cy="5715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32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PARADOR</a:t>
          </a:r>
          <a:endParaRPr sz="14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5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5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6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18</xdr:row>
      <xdr:rowOff>0</xdr:rowOff>
    </xdr:from>
    <xdr:ext cx="190500" cy="266700"/>
    <xdr:sp>
      <xdr:nvSpPr>
        <xdr:cNvPr id="108" name="Shape 108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5</xdr:col>
      <xdr:colOff>47625</xdr:colOff>
      <xdr:row>18</xdr:row>
      <xdr:rowOff>0</xdr:rowOff>
    </xdr:from>
    <xdr:ext cx="190500" cy="266700"/>
    <xdr:sp>
      <xdr:nvSpPr>
        <xdr:cNvPr id="107" name="Shape 107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676275</xdr:colOff>
      <xdr:row>0</xdr:row>
      <xdr:rowOff>142875</xdr:rowOff>
    </xdr:from>
    <xdr:ext cx="1581150" cy="581025"/>
    <xdr:sp>
      <xdr:nvSpPr>
        <xdr:cNvPr id="200" name="Shape 200"/>
        <xdr:cNvSpPr/>
      </xdr:nvSpPr>
      <xdr:spPr>
        <a:xfrm>
          <a:off x="4560188" y="3494250"/>
          <a:ext cx="1571625" cy="57150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</xdr:col>
      <xdr:colOff>1628775</xdr:colOff>
      <xdr:row>0</xdr:row>
      <xdr:rowOff>142875</xdr:rowOff>
    </xdr:from>
    <xdr:ext cx="1200150" cy="581025"/>
    <xdr:sp>
      <xdr:nvSpPr>
        <xdr:cNvPr id="201" name="Shape 201"/>
        <xdr:cNvSpPr/>
      </xdr:nvSpPr>
      <xdr:spPr>
        <a:xfrm>
          <a:off x="4750688" y="3494250"/>
          <a:ext cx="1190625" cy="571500"/>
        </a:xfrm>
        <a:prstGeom prst="roundRect">
          <a:avLst>
            <a:gd fmla="val 23599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2</xdr:col>
      <xdr:colOff>1733550</xdr:colOff>
      <xdr:row>0</xdr:row>
      <xdr:rowOff>161925</xdr:rowOff>
    </xdr:from>
    <xdr:ext cx="1019175" cy="571500"/>
    <xdr:sp>
      <xdr:nvSpPr>
        <xdr:cNvPr id="202" name="Shape 202"/>
        <xdr:cNvSpPr txBox="1"/>
      </xdr:nvSpPr>
      <xdr:spPr>
        <a:xfrm>
          <a:off x="4841175" y="3499013"/>
          <a:ext cx="1009650" cy="56197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2</xdr:col>
      <xdr:colOff>695325</xdr:colOff>
      <xdr:row>0</xdr:row>
      <xdr:rowOff>152400</xdr:rowOff>
    </xdr:from>
    <xdr:ext cx="1066800" cy="571500"/>
    <xdr:sp>
      <xdr:nvSpPr>
        <xdr:cNvPr id="203" name="Shape 203"/>
        <xdr:cNvSpPr txBox="1"/>
      </xdr:nvSpPr>
      <xdr:spPr>
        <a:xfrm>
          <a:off x="4817363" y="3499013"/>
          <a:ext cx="1057275" cy="5619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TURNO</a:t>
          </a:r>
          <a:endParaRPr sz="1400"/>
        </a:p>
      </xdr:txBody>
    </xdr:sp>
    <xdr:clientData fLocksWithSheet="0"/>
  </xdr:oneCellAnchor>
  <xdr:oneCellAnchor>
    <xdr:from>
      <xdr:col>3</xdr:col>
      <xdr:colOff>542925</xdr:colOff>
      <xdr:row>0</xdr:row>
      <xdr:rowOff>142875</xdr:rowOff>
    </xdr:from>
    <xdr:ext cx="1800225" cy="295275"/>
    <xdr:sp>
      <xdr:nvSpPr>
        <xdr:cNvPr id="204" name="Shape 204"/>
        <xdr:cNvSpPr/>
      </xdr:nvSpPr>
      <xdr:spPr>
        <a:xfrm>
          <a:off x="4450650" y="3637125"/>
          <a:ext cx="1790700" cy="285750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2343150</xdr:colOff>
      <xdr:row>0</xdr:row>
      <xdr:rowOff>142875</xdr:rowOff>
    </xdr:from>
    <xdr:ext cx="1314450" cy="295275"/>
    <xdr:sp>
      <xdr:nvSpPr>
        <xdr:cNvPr id="205" name="Shape 205"/>
        <xdr:cNvSpPr/>
      </xdr:nvSpPr>
      <xdr:spPr>
        <a:xfrm>
          <a:off x="4693538" y="3637125"/>
          <a:ext cx="1304925" cy="285750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4</xdr:col>
      <xdr:colOff>28575</xdr:colOff>
      <xdr:row>0</xdr:row>
      <xdr:rowOff>142875</xdr:rowOff>
    </xdr:from>
    <xdr:ext cx="1200150" cy="295275"/>
    <xdr:sp>
      <xdr:nvSpPr>
        <xdr:cNvPr id="206" name="Shape 206"/>
        <xdr:cNvSpPr txBox="1"/>
      </xdr:nvSpPr>
      <xdr:spPr>
        <a:xfrm>
          <a:off x="4750688" y="3637125"/>
          <a:ext cx="1190625" cy="285750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676275</xdr:colOff>
      <xdr:row>0</xdr:row>
      <xdr:rowOff>142875</xdr:rowOff>
    </xdr:from>
    <xdr:ext cx="1666875" cy="295275"/>
    <xdr:sp>
      <xdr:nvSpPr>
        <xdr:cNvPr id="207" name="Shape 207"/>
        <xdr:cNvSpPr txBox="1"/>
      </xdr:nvSpPr>
      <xdr:spPr>
        <a:xfrm>
          <a:off x="4517325" y="3637125"/>
          <a:ext cx="1657350" cy="2857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HS APERTURA</a:t>
          </a:r>
          <a:endParaRPr sz="1400"/>
        </a:p>
      </xdr:txBody>
    </xdr:sp>
    <xdr:clientData fLocksWithSheet="0"/>
  </xdr:oneCellAnchor>
  <xdr:oneCellAnchor>
    <xdr:from>
      <xdr:col>3</xdr:col>
      <xdr:colOff>552450</xdr:colOff>
      <xdr:row>2</xdr:row>
      <xdr:rowOff>57150</xdr:rowOff>
    </xdr:from>
    <xdr:ext cx="1800225" cy="285750"/>
    <xdr:sp>
      <xdr:nvSpPr>
        <xdr:cNvPr id="208" name="Shape 208"/>
        <xdr:cNvSpPr/>
      </xdr:nvSpPr>
      <xdr:spPr>
        <a:xfrm>
          <a:off x="4450650" y="3641888"/>
          <a:ext cx="1790700" cy="276225"/>
        </a:xfrm>
        <a:prstGeom prst="roundRect">
          <a:avLst>
            <a:gd fmla="val 23599" name="adj"/>
          </a:avLst>
        </a:prstGeom>
        <a:solidFill>
          <a:schemeClr val="lt2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3</xdr:col>
      <xdr:colOff>2343150</xdr:colOff>
      <xdr:row>2</xdr:row>
      <xdr:rowOff>57150</xdr:rowOff>
    </xdr:from>
    <xdr:ext cx="1314450" cy="285750"/>
    <xdr:sp>
      <xdr:nvSpPr>
        <xdr:cNvPr id="209" name="Shape 209"/>
        <xdr:cNvSpPr/>
      </xdr:nvSpPr>
      <xdr:spPr>
        <a:xfrm>
          <a:off x="4693538" y="3641888"/>
          <a:ext cx="1304925" cy="276225"/>
        </a:xfrm>
        <a:prstGeom prst="roundRect">
          <a:avLst>
            <a:gd fmla="val 33334" name="adj"/>
          </a:avLst>
        </a:prstGeom>
        <a:solidFill>
          <a:srgbClr val="1F3864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000"/>
        </a:p>
      </xdr:txBody>
    </xdr:sp>
    <xdr:clientData fLocksWithSheet="0"/>
  </xdr:oneCellAnchor>
  <xdr:oneCellAnchor>
    <xdr:from>
      <xdr:col>4</xdr:col>
      <xdr:colOff>28575</xdr:colOff>
      <xdr:row>2</xdr:row>
      <xdr:rowOff>57150</xdr:rowOff>
    </xdr:from>
    <xdr:ext cx="1200150" cy="285750"/>
    <xdr:sp>
      <xdr:nvSpPr>
        <xdr:cNvPr id="210" name="Shape 210"/>
        <xdr:cNvSpPr txBox="1"/>
      </xdr:nvSpPr>
      <xdr:spPr>
        <a:xfrm>
          <a:off x="4750688" y="3641888"/>
          <a:ext cx="1190625" cy="276225"/>
        </a:xfrm>
        <a:prstGeom prst="rect">
          <a:avLst/>
        </a:prstGeom>
        <a:noFill/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1600" u="none" strike="noStrike">
            <a:solidFill>
              <a:srgbClr val="FFFFFF"/>
            </a:solidFill>
            <a:latin typeface="Fira Sans"/>
            <a:ea typeface="Fira Sans"/>
            <a:cs typeface="Fira Sans"/>
            <a:sym typeface="Fira Sans"/>
          </a:endParaRPr>
        </a:p>
      </xdr:txBody>
    </xdr:sp>
    <xdr:clientData fLocksWithSheet="0"/>
  </xdr:oneCellAnchor>
  <xdr:oneCellAnchor>
    <xdr:from>
      <xdr:col>3</xdr:col>
      <xdr:colOff>685800</xdr:colOff>
      <xdr:row>2</xdr:row>
      <xdr:rowOff>57150</xdr:rowOff>
    </xdr:from>
    <xdr:ext cx="1666875" cy="285750"/>
    <xdr:sp>
      <xdr:nvSpPr>
        <xdr:cNvPr id="211" name="Shape 211"/>
        <xdr:cNvSpPr txBox="1"/>
      </xdr:nvSpPr>
      <xdr:spPr>
        <a:xfrm>
          <a:off x="4517325" y="3641888"/>
          <a:ext cx="1657350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600">
              <a:solidFill>
                <a:srgbClr val="1F3864"/>
              </a:solidFill>
              <a:latin typeface="Fira Sans"/>
              <a:ea typeface="Fira Sans"/>
              <a:cs typeface="Fira Sans"/>
              <a:sym typeface="Fira Sans"/>
            </a:rPr>
            <a:t>HS CIERRE</a:t>
          </a:r>
          <a:endParaRPr sz="1400"/>
        </a:p>
      </xdr:txBody>
    </xdr:sp>
    <xdr:clientData fLocksWithSheet="0"/>
  </xdr:oneCellAnchor>
  <xdr:oneCellAnchor>
    <xdr:from>
      <xdr:col>6</xdr:col>
      <xdr:colOff>790575</xdr:colOff>
      <xdr:row>0</xdr:row>
      <xdr:rowOff>180975</xdr:rowOff>
    </xdr:from>
    <xdr:ext cx="1295400" cy="571500"/>
    <xdr:pic>
      <xdr:nvPicPr>
        <xdr:cNvPr id="0" name="image4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11.43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.57"/>
    <col customWidth="1" min="2" max="3" width="30.71"/>
    <col customWidth="1" min="4" max="4" width="117.57"/>
    <col customWidth="1" min="5" max="26" width="11.43"/>
  </cols>
  <sheetData>
    <row r="1" ht="14.25" customHeight="1">
      <c r="A1" s="1"/>
      <c r="B1" s="1"/>
      <c r="C1" s="2" t="str">
        <f>+TABLAS!$A$4</f>
        <v>#REF!</v>
      </c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3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3"/>
      <c r="D3" s="3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1"/>
      <c r="C4" s="3" t="str">
        <f>+TABLAS!$C$5</f>
        <v>#REF!</v>
      </c>
      <c r="D4" s="3" t="str">
        <f>+TABLAS!$E$5</f>
        <v>#REF!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4.25" customHeight="1">
      <c r="A5" s="1"/>
      <c r="B5" s="1"/>
      <c r="C5" s="4" t="str">
        <f>+TABLAS!$B$5</f>
        <v>#REF!</v>
      </c>
      <c r="D5" s="4" t="str">
        <f>+TABLAS!$D$5</f>
        <v>#REF!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/>
      <c r="C6" s="5"/>
      <c r="D6" s="5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/>
      <c r="B7" s="1"/>
      <c r="C7" s="5"/>
      <c r="D7" s="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/>
      <c r="B8" s="1"/>
      <c r="C8" s="5"/>
      <c r="D8" s="5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"/>
      <c r="B9" s="6">
        <f>SUM($B$11:$B$18)</f>
        <v>0</v>
      </c>
      <c r="C9" s="7"/>
      <c r="D9" s="7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8" t="s">
        <v>0</v>
      </c>
      <c r="C10" s="9" t="s">
        <v>1</v>
      </c>
      <c r="D10" s="9" t="s">
        <v>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"/>
      <c r="B11" s="10" t="str">
        <f t="array" ref="B11">IFERROR(INDEX('Caja Adicion'!$A$2:$V$201,SMALL(IF(('Caja Adicion'!$B$2:$B$201&gt;=$C$5)*('Caja Adicion'!$B$2:$B$201&lt;$D$5)*('Caja Adicion'!$E$2:$E$201=$C$1),ROW('Caja Adicion'!$A$2:$V$201)-ROW('Caja Adicion'!$A$2)+1),ROWS($B$11:J11)),COLUMNS($B$11:J11)),"")</f>
        <v/>
      </c>
      <c r="C11" s="11" t="str">
        <f t="array" ref="C11">IFERROR(INDEX('Caja Adicion'!$A$2:$V$201,SMALL(IF(('Caja Adicion'!$B$2:$B$201&gt;=$C$5)*('Caja Adicion'!$B$2:$B$201&lt;$D$5)*('Caja Adicion'!$E$2:$E$201=$C$1),ROW('Caja Adicion'!$A$2:$V$201)-ROW('Caja Adicion'!$A$2)+1),ROWS($B$11:D11)),COLUMNS($B$11:D11)),"")</f>
        <v/>
      </c>
      <c r="D11" s="12" t="str">
        <f t="array" ref="D11">IFERROR(INDEX('Caja Adicion'!$A$2:$V$201,SMALL(IF(('Caja Adicion'!$B$2:$B$201&gt;=$C$5)*('Caja Adicion'!$B$2:$B$201&lt;$D$5)*('Caja Adicion'!$E$2:$E$201=$C$1),ROW('Caja Adicion'!$A$2:$V$201)-ROW('Caja Adicion'!$A$2)+1),ROWS($B$11:K11)),COLUMNS($B$11:K11)),"")</f>
        <v/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0" t="str">
        <f t="array" ref="B12">IFERROR(INDEX('Caja Adicion'!$A$2:$V$201,SMALL(IF(('Caja Adicion'!$B$2:$B$201&gt;=$C$5)*('Caja Adicion'!$B$2:$B$201&lt;$D$5)*('Caja Adicion'!$E$2:$E$201=$C$1),ROW('Caja Adicion'!$A$2:$V$201)-ROW('Caja Adicion'!$A$2)+1),ROWS($B$11:J12)),COLUMNS($B$11:J12)),"")</f>
        <v/>
      </c>
      <c r="C12" s="11" t="str">
        <f t="array" ref="C12">IFERROR(INDEX('Caja Adicion'!$A$2:$V$201,SMALL(IF(('Caja Adicion'!$B$2:$B$201&gt;=$C$5)*('Caja Adicion'!$B$2:$B$201&lt;$D$5)*('Caja Adicion'!$E$2:$E$201=$C$1),ROW('Caja Adicion'!$A$2:$V$201)-ROW('Caja Adicion'!$A$2)+1),ROWS($B$11:D12)),COLUMNS($B$11:D12)),"")</f>
        <v/>
      </c>
      <c r="D12" s="12" t="str">
        <f t="array" ref="D12">IFERROR(INDEX('Caja Adicion'!$A$2:$V$201,SMALL(IF(('Caja Adicion'!$B$2:$B$201&gt;=$C$5)*('Caja Adicion'!$B$2:$B$201&lt;$D$5)*('Caja Adicion'!$E$2:$E$201=$C$1),ROW('Caja Adicion'!$A$2:$V$201)-ROW('Caja Adicion'!$A$2)+1),ROWS($B$11:K12)),COLUMNS($B$11:K12)),"")</f>
        <v/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0" t="str">
        <f t="array" ref="B13">IFERROR(INDEX('Caja Adicion'!$A$2:$V$201,SMALL(IF(('Caja Adicion'!$B$2:$B$201&gt;=$C$5)*('Caja Adicion'!$B$2:$B$201&lt;$D$5)*('Caja Adicion'!$E$2:$E$201=$C$1),ROW('Caja Adicion'!$A$2:$V$201)-ROW('Caja Adicion'!$A$2)+1),ROWS($B$11:J13)),COLUMNS($B$11:J13)),"")</f>
        <v/>
      </c>
      <c r="C13" s="11" t="str">
        <f t="array" ref="C13">IFERROR(INDEX('Caja Adicion'!$A$2:$V$201,SMALL(IF(('Caja Adicion'!$B$2:$B$201&gt;=$C$5)*('Caja Adicion'!$B$2:$B$201&lt;$D$5)*('Caja Adicion'!$E$2:$E$201=$C$1),ROW('Caja Adicion'!$A$2:$V$201)-ROW('Caja Adicion'!$A$2)+1),ROWS($B$11:D13)),COLUMNS($B$11:D13)),"")</f>
        <v/>
      </c>
      <c r="D13" s="12" t="str">
        <f t="array" ref="D13">IFERROR(INDEX('Caja Adicion'!$A$2:$V$201,SMALL(IF(('Caja Adicion'!$B$2:$B$201&gt;=$C$5)*('Caja Adicion'!$B$2:$B$201&lt;$D$5)*('Caja Adicion'!$E$2:$E$201=$C$1),ROW('Caja Adicion'!$A$2:$V$201)-ROW('Caja Adicion'!$A$2)+1),ROWS($B$11:K13)),COLUMNS($B$11:K13)),"")</f>
        <v/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0" t="str">
        <f t="array" ref="B14">IFERROR(INDEX('Caja Adicion'!$A$2:$V$201,SMALL(IF(('Caja Adicion'!$B$2:$B$201&gt;=$C$5)*('Caja Adicion'!$B$2:$B$201&lt;$D$5)*('Caja Adicion'!$E$2:$E$201=$C$1),ROW('Caja Adicion'!$A$2:$V$201)-ROW('Caja Adicion'!$A$2)+1),ROWS($B$11:J14)),COLUMNS($B$11:J14)),"")</f>
        <v/>
      </c>
      <c r="C14" s="11" t="str">
        <f t="array" ref="C14">IFERROR(INDEX('Caja Adicion'!$A$2:$V$201,SMALL(IF(('Caja Adicion'!$B$2:$B$201&gt;=$C$5)*('Caja Adicion'!$B$2:$B$201&lt;$D$5)*('Caja Adicion'!$E$2:$E$201=$C$1),ROW('Caja Adicion'!$A$2:$V$201)-ROW('Caja Adicion'!$A$2)+1),ROWS($B$11:D14)),COLUMNS($B$11:D14)),"")</f>
        <v/>
      </c>
      <c r="D14" s="12" t="str">
        <f t="array" ref="D14">IFERROR(INDEX('Caja Adicion'!$A$2:$V$201,SMALL(IF(('Caja Adicion'!$B$2:$B$201&gt;=$C$5)*('Caja Adicion'!$B$2:$B$201&lt;$D$5)*('Caja Adicion'!$E$2:$E$201=$C$1),ROW('Caja Adicion'!$A$2:$V$201)-ROW('Caja Adicion'!$A$2)+1),ROWS($B$11:K14)),COLUMNS($B$11:K14)),"")</f>
        <v/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0" t="str">
        <f t="array" ref="B15">IFERROR(INDEX('Caja Adicion'!$A$2:$V$201,SMALL(IF(('Caja Adicion'!$B$2:$B$201&gt;=$C$5)*('Caja Adicion'!$B$2:$B$201&lt;$D$5)*('Caja Adicion'!$E$2:$E$201=$C$1),ROW('Caja Adicion'!$A$2:$V$201)-ROW('Caja Adicion'!$A$2)+1),ROWS($B$11:J15)),COLUMNS($B$11:J15)),"")</f>
        <v/>
      </c>
      <c r="C15" s="11" t="str">
        <f t="array" ref="C15">IFERROR(INDEX('Caja Adicion'!$A$2:$V$201,SMALL(IF(('Caja Adicion'!$B$2:$B$201&gt;=$C$5)*('Caja Adicion'!$B$2:$B$201&lt;$D$5)*('Caja Adicion'!$E$2:$E$201=$C$1),ROW('Caja Adicion'!$A$2:$V$201)-ROW('Caja Adicion'!$A$2)+1),ROWS($B$11:D15)),COLUMNS($B$11:D15)),"")</f>
        <v/>
      </c>
      <c r="D15" s="12" t="str">
        <f t="array" ref="D15">IFERROR(INDEX('Caja Adicion'!$A$2:$V$201,SMALL(IF(('Caja Adicion'!$B$2:$B$201&gt;=$C$5)*('Caja Adicion'!$B$2:$B$201&lt;$D$5)*('Caja Adicion'!$E$2:$E$201=$C$1),ROW('Caja Adicion'!$A$2:$V$201)-ROW('Caja Adicion'!$A$2)+1),ROWS($B$11:K15)),COLUMNS($B$11:K15)),"")</f>
        <v/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0" t="str">
        <f t="array" ref="B16">IFERROR(INDEX('Caja Adicion'!$A$2:$V$201,SMALL(IF(('Caja Adicion'!$B$2:$B$201&gt;=$C$5)*('Caja Adicion'!$B$2:$B$201&lt;$D$5)*('Caja Adicion'!$E$2:$E$201=$C$1),ROW('Caja Adicion'!$A$2:$V$201)-ROW('Caja Adicion'!$A$2)+1),ROWS($B$11:J16)),COLUMNS($B$11:J16)),"")</f>
        <v/>
      </c>
      <c r="C16" s="11" t="str">
        <f t="array" ref="C16">IFERROR(INDEX('Caja Adicion'!$A$2:$V$201,SMALL(IF(('Caja Adicion'!$B$2:$B$201&gt;=$C$5)*('Caja Adicion'!$B$2:$B$201&lt;$D$5)*('Caja Adicion'!$E$2:$E$201=$C$1),ROW('Caja Adicion'!$A$2:$V$201)-ROW('Caja Adicion'!$A$2)+1),ROWS($B$11:D16)),COLUMNS($B$11:D16)),"")</f>
        <v/>
      </c>
      <c r="D16" s="12" t="str">
        <f t="array" ref="D16">IFERROR(INDEX('Caja Adicion'!$A$2:$V$201,SMALL(IF(('Caja Adicion'!$B$2:$B$201&gt;=$C$5)*('Caja Adicion'!$B$2:$B$201&lt;$D$5)*('Caja Adicion'!$E$2:$E$201=$C$1),ROW('Caja Adicion'!$A$2:$V$201)-ROW('Caja Adicion'!$A$2)+1),ROWS($B$11:K16)),COLUMNS($B$11:K16)),"")</f>
        <v/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0" t="str">
        <f t="array" ref="B17">IFERROR(INDEX('Caja Adicion'!$A$2:$V$201,SMALL(IF(('Caja Adicion'!$B$2:$B$201&gt;=$C$5)*('Caja Adicion'!$B$2:$B$201&lt;$D$5)*('Caja Adicion'!$E$2:$E$201=$C$1),ROW('Caja Adicion'!$A$2:$V$201)-ROW('Caja Adicion'!$A$2)+1),ROWS($B$11:J17)),COLUMNS($B$11:J17)),"")</f>
        <v/>
      </c>
      <c r="C17" s="11" t="str">
        <f t="array" ref="C17">IFERROR(INDEX('Caja Adicion'!$A$2:$V$201,SMALL(IF(('Caja Adicion'!$B$2:$B$201&gt;=$C$5)*('Caja Adicion'!$B$2:$B$201&lt;$D$5)*('Caja Adicion'!$E$2:$E$201=$C$1),ROW('Caja Adicion'!$A$2:$V$201)-ROW('Caja Adicion'!$A$2)+1),ROWS($B$11:D17)),COLUMNS($B$11:D17)),"")</f>
        <v/>
      </c>
      <c r="D17" s="12" t="str">
        <f t="array" ref="D17">IFERROR(INDEX('Caja Adicion'!$A$2:$V$201,SMALL(IF(('Caja Adicion'!$B$2:$B$201&gt;=$C$5)*('Caja Adicion'!$B$2:$B$201&lt;$D$5)*('Caja Adicion'!$E$2:$E$201=$C$1),ROW('Caja Adicion'!$A$2:$V$201)-ROW('Caja Adicion'!$A$2)+1),ROWS($B$11:K17)),COLUMNS($B$11:K17)),"")</f>
        <v/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0" t="str">
        <f t="array" ref="B18">IFERROR(INDEX('Caja Adicion'!$A$2:$V$201,SMALL(IF(('Caja Adicion'!$B$2:$B$201&gt;=$C$5)*('Caja Adicion'!$B$2:$B$201&lt;$D$5)*('Caja Adicion'!$E$2:$E$201=$C$1),ROW('Caja Adicion'!$A$2:$V$201)-ROW('Caja Adicion'!$A$2)+1),ROWS($B$11:J18)),COLUMNS($B$11:J18)),"")</f>
        <v/>
      </c>
      <c r="C18" s="11" t="str">
        <f t="array" ref="C18">IFERROR(INDEX('Caja Adicion'!$A$2:$V$201,SMALL(IF(('Caja Adicion'!$B$2:$B$201&gt;=$C$5)*('Caja Adicion'!$B$2:$B$201&lt;$D$5)*('Caja Adicion'!$E$2:$E$201=$C$1),ROW('Caja Adicion'!$A$2:$V$201)-ROW('Caja Adicion'!$A$2)+1),ROWS($B$11:D18)),COLUMNS($B$11:D18)),"")</f>
        <v/>
      </c>
      <c r="D18" s="12" t="str">
        <f t="array" ref="D18">IFERROR(INDEX('Caja Adicion'!$A$2:$V$201,SMALL(IF(('Caja Adicion'!$B$2:$B$201&gt;=$C$5)*('Caja Adicion'!$B$2:$B$201&lt;$D$5)*('Caja Adicion'!$E$2:$E$201=$C$1),ROW('Caja Adicion'!$A$2:$V$201)-ROW('Caja Adicion'!$A$2)+1),ROWS($B$11:K18)),COLUMNS($B$11:K18)),"")</f>
        <v/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1" t="str">
        <f t="array" ref="B19">IFERROR(INDEX(#REF!,SMALL(IF((#REF!&gt;=$C$5)*(#REF!&lt;$C$5+1),ROW(#REF!)-ROW(#REF!)+1),ROWS('ENVIAR NO CONCILIADOS'!$B$13:B21)),COLUMNS($B$11:B19)),"")</f>
        <v/>
      </c>
      <c r="C19" s="13"/>
      <c r="D19" s="1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5"/>
      <c r="D20" s="5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"/>
      <c r="C21" s="5"/>
      <c r="D21" s="5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"/>
      <c r="C22" s="5"/>
      <c r="D22" s="5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6">
        <f>SUM($B$25:$B$32)</f>
        <v>0</v>
      </c>
      <c r="C23" s="7"/>
      <c r="D23" s="7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8" t="s">
        <v>0</v>
      </c>
      <c r="C24" s="9" t="s">
        <v>1</v>
      </c>
      <c r="D24" s="9" t="s">
        <v>2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0" t="str">
        <f t="array" ref="B25">IFERROR(INDEX('Pagos MP'!$A$2:$E$500,SMALL(IF(('Pagos MP'!$C$2:$C$500&gt;=$C$5)*('Pagos MP'!$C$2:$C$500&lt;$D$5),ROW('Pagos MP'!$A$2:$E$500)-ROW('Pagos MP'!$A$2)+1),ROWS($B$25:C25)),COLUMNS($B$25:C25)),"")</f>
        <v/>
      </c>
      <c r="C25" s="10" t="str">
        <f t="array" ref="C25">IFERROR(INDEX('Pagos MP'!$A$2:$E$500,SMALL(IF(('Pagos MP'!$C$2:$C$500&gt;=$C$5)*('Pagos MP'!$C$2:$C$500&lt;$D$5),ROW('Pagos MP'!$A$2:$E$500)-ROW('Pagos MP'!$A$2)+1),ROWS($B$25:D25)),COLUMNS($B$25:D25)),"")</f>
        <v/>
      </c>
      <c r="D25" s="10" t="str">
        <f t="array" ref="D25">IFERROR(INDEX('Pagos MP'!$A$2:$E$500,SMALL(IF(('Pagos MP'!$C$2:$C$500&gt;=$C$5)*('Pagos MP'!$C$2:$C$500&lt;$D$5),ROW('Pagos MP'!$A$2:$E$500)-ROW('Pagos MP'!$A$2)+1),ROWS($B$25:F25)),COLUMNS($B$25:F25)),"")</f>
        <v/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0" t="str">
        <f t="array" ref="B26">IFERROR(INDEX('Pagos MP'!$A$2:$E$500,SMALL(IF(('Pagos MP'!$C$2:$C$500&gt;=$C$5)*('Pagos MP'!$C$2:$C$500&lt;$D$5),ROW('Pagos MP'!$A$2:$E$500)-ROW('Pagos MP'!$A$2)+1),ROWS($B$25:C26)),COLUMNS($B$25:C26)),"")</f>
        <v/>
      </c>
      <c r="C26" s="10" t="str">
        <f t="array" ref="C26">IFERROR(INDEX('Pagos MP'!$A$2:$E$500,SMALL(IF(('Pagos MP'!$C$2:$C$500&gt;=$C$5)*('Pagos MP'!$C$2:$C$500&lt;$D$5),ROW('Pagos MP'!$A$2:$E$500)-ROW('Pagos MP'!$A$2)+1),ROWS($B$25:D26)),COLUMNS($B$25:D26)),"")</f>
        <v/>
      </c>
      <c r="D26" s="10" t="str">
        <f t="array" ref="D26">IFERROR(INDEX('Pagos MP'!$A$2:$E$500,SMALL(IF(('Pagos MP'!$C$2:$C$500&gt;=$C$5)*('Pagos MP'!$C$2:$C$500&lt;$D$5),ROW('Pagos MP'!$A$2:$E$500)-ROW('Pagos MP'!$A$2)+1),ROWS($B$25:F26)),COLUMNS($B$25:F26)),"")</f>
        <v/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0" t="str">
        <f t="array" ref="B27">IFERROR(INDEX('Pagos MP'!$A$2:$E$500,SMALL(IF(('Pagos MP'!$C$2:$C$500&gt;=$C$5)*('Pagos MP'!$C$2:$C$500&lt;$D$5),ROW('Pagos MP'!$A$2:$E$500)-ROW('Pagos MP'!$A$2)+1),ROWS($B$25:C27)),COLUMNS($B$25:C27)),"")</f>
        <v/>
      </c>
      <c r="C27" s="10" t="str">
        <f t="array" ref="C27">IFERROR(INDEX('Pagos MP'!$A$2:$E$500,SMALL(IF(('Pagos MP'!$C$2:$C$500&gt;=$C$5)*('Pagos MP'!$C$2:$C$500&lt;$D$5),ROW('Pagos MP'!$A$2:$E$500)-ROW('Pagos MP'!$A$2)+1),ROWS($B$25:D27)),COLUMNS($B$25:D27)),"")</f>
        <v/>
      </c>
      <c r="D27" s="10" t="str">
        <f t="array" ref="D27">IFERROR(INDEX('Pagos MP'!$A$2:$E$500,SMALL(IF(('Pagos MP'!$C$2:$C$500&gt;=$C$5)*('Pagos MP'!$C$2:$C$500&lt;$D$5),ROW('Pagos MP'!$A$2:$E$500)-ROW('Pagos MP'!$A$2)+1),ROWS($B$25:F27)),COLUMNS($B$25:F27)),"")</f>
        <v/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10" t="str">
        <f t="array" ref="B28">IFERROR(INDEX('Pagos MP'!$A$2:$E$500,SMALL(IF(('Pagos MP'!$C$2:$C$500&gt;=$C$5)*('Pagos MP'!$C$2:$C$500&lt;$D$5),ROW('Pagos MP'!$A$2:$E$500)-ROW('Pagos MP'!$A$2)+1),ROWS($B$25:C28)),COLUMNS($B$25:C28)),"")</f>
        <v/>
      </c>
      <c r="C28" s="10" t="str">
        <f t="array" ref="C28">IFERROR(INDEX('Pagos MP'!$A$2:$E$500,SMALL(IF(('Pagos MP'!$C$2:$C$500&gt;=$C$5)*('Pagos MP'!$C$2:$C$500&lt;$D$5),ROW('Pagos MP'!$A$2:$E$500)-ROW('Pagos MP'!$A$2)+1),ROWS($B$25:D28)),COLUMNS($B$25:D28)),"")</f>
        <v/>
      </c>
      <c r="D28" s="10" t="str">
        <f t="array" ref="D28">IFERROR(INDEX('Pagos MP'!$A$2:$E$500,SMALL(IF(('Pagos MP'!$C$2:$C$500&gt;=$C$5)*('Pagos MP'!$C$2:$C$500&lt;$D$5),ROW('Pagos MP'!$A$2:$E$500)-ROW('Pagos MP'!$A$2)+1),ROWS($B$25:F28)),COLUMNS($B$25:F28)),"")</f>
        <v/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0" t="str">
        <f t="array" ref="B29">IFERROR(INDEX('Pagos MP'!$A$2:$E$500,SMALL(IF(('Pagos MP'!$C$2:$C$500&gt;=$C$5)*('Pagos MP'!$C$2:$C$500&lt;$D$5),ROW('Pagos MP'!$A$2:$E$500)-ROW('Pagos MP'!$A$2)+1),ROWS($B$25:C29)),COLUMNS($B$25:C29)),"")</f>
        <v/>
      </c>
      <c r="C29" s="10" t="str">
        <f t="array" ref="C29">IFERROR(INDEX('Pagos MP'!$A$2:$E$500,SMALL(IF(('Pagos MP'!$C$2:$C$500&gt;=$C$5)*('Pagos MP'!$C$2:$C$500&lt;$D$5),ROW('Pagos MP'!$A$2:$E$500)-ROW('Pagos MP'!$A$2)+1),ROWS($B$25:D29)),COLUMNS($B$25:D29)),"")</f>
        <v/>
      </c>
      <c r="D29" s="10" t="str">
        <f t="array" ref="D29">IFERROR(INDEX('Pagos MP'!$A$2:$E$500,SMALL(IF(('Pagos MP'!$C$2:$C$500&gt;=$C$5)*('Pagos MP'!$C$2:$C$500&lt;$D$5),ROW('Pagos MP'!$A$2:$E$500)-ROW('Pagos MP'!$A$2)+1),ROWS($B$25:F29)),COLUMNS($B$25:F29)),"")</f>
        <v/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0" t="str">
        <f t="array" ref="B30">IFERROR(INDEX('Pagos MP'!$A$2:$E$500,SMALL(IF(('Pagos MP'!$C$2:$C$500&gt;=$C$5)*('Pagos MP'!$C$2:$C$500&lt;$D$5),ROW('Pagos MP'!$A$2:$E$500)-ROW('Pagos MP'!$A$2)+1),ROWS($B$25:C30)),COLUMNS($B$25:C30)),"")</f>
        <v/>
      </c>
      <c r="C30" s="10" t="str">
        <f t="array" ref="C30">IFERROR(INDEX('Pagos MP'!$A$2:$E$500,SMALL(IF(('Pagos MP'!$C$2:$C$500&gt;=$C$5)*('Pagos MP'!$C$2:$C$500&lt;$D$5),ROW('Pagos MP'!$A$2:$E$500)-ROW('Pagos MP'!$A$2)+1),ROWS($B$25:D30)),COLUMNS($B$25:D30)),"")</f>
        <v/>
      </c>
      <c r="D30" s="10" t="str">
        <f t="array" ref="D30">IFERROR(INDEX('Pagos MP'!$A$2:$E$500,SMALL(IF(('Pagos MP'!$C$2:$C$500&gt;=$C$5)*('Pagos MP'!$C$2:$C$500&lt;$D$5),ROW('Pagos MP'!$A$2:$E$500)-ROW('Pagos MP'!$A$2)+1),ROWS($B$25:F30)),COLUMNS($B$25:F30)),"")</f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0" t="str">
        <f t="array" ref="B31">IFERROR(INDEX('Pagos MP'!$A$2:$E$500,SMALL(IF(('Pagos MP'!$C$2:$C$500&gt;=$C$5)*('Pagos MP'!$C$2:$C$500&lt;$D$5),ROW('Pagos MP'!$A$2:$E$500)-ROW('Pagos MP'!$A$2)+1),ROWS($B$25:C31)),COLUMNS($B$25:C31)),"")</f>
        <v/>
      </c>
      <c r="C31" s="10" t="str">
        <f t="array" ref="C31">IFERROR(INDEX('Pagos MP'!$A$2:$E$500,SMALL(IF(('Pagos MP'!$C$2:$C$500&gt;=$C$5)*('Pagos MP'!$C$2:$C$500&lt;$D$5),ROW('Pagos MP'!$A$2:$E$500)-ROW('Pagos MP'!$A$2)+1),ROWS($B$25:D31)),COLUMNS($B$25:D31)),"")</f>
        <v/>
      </c>
      <c r="D31" s="10" t="str">
        <f t="array" ref="D31">IFERROR(INDEX('Pagos MP'!$A$2:$E$500,SMALL(IF(('Pagos MP'!$C$2:$C$500&gt;=$C$5)*('Pagos MP'!$C$2:$C$500&lt;$D$5),ROW('Pagos MP'!$A$2:$E$500)-ROW('Pagos MP'!$A$2)+1),ROWS($B$25:F31)),COLUMNS($B$25:F31)),"")</f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0" t="str">
        <f t="array" ref="B32">IFERROR(INDEX('Pagos MP'!$A$2:$E$500,SMALL(IF(('Pagos MP'!$C$2:$C$500&gt;=$C$5)*('Pagos MP'!$C$2:$C$500&lt;$D$5),ROW('Pagos MP'!$A$2:$E$500)-ROW('Pagos MP'!$A$2)+1),ROWS($B$25:C32)),COLUMNS($B$25:C32)),"")</f>
        <v/>
      </c>
      <c r="C32" s="10" t="str">
        <f t="array" ref="C32">IFERROR(INDEX('Pagos MP'!$A$2:$E$500,SMALL(IF(('Pagos MP'!$C$2:$C$500&gt;=$C$5)*('Pagos MP'!$C$2:$C$500&lt;$D$5),ROW('Pagos MP'!$A$2:$E$500)-ROW('Pagos MP'!$A$2)+1),ROWS($B$25:D32)),COLUMNS($B$25:D32)),"")</f>
        <v/>
      </c>
      <c r="D32" s="10" t="str">
        <f t="array" ref="D32">IFERROR(INDEX('Pagos MP'!$A$2:$E$500,SMALL(IF(('Pagos MP'!$C$2:$C$500&gt;=$C$5)*('Pagos MP'!$C$2:$C$500&lt;$D$5),ROW('Pagos MP'!$A$2:$E$500)-ROW('Pagos MP'!$A$2)+1),ROWS($B$25:F32)),COLUMNS($B$25:F32)),"")</f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C19:D19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.71"/>
    <col customWidth="1" min="2" max="2" width="40.71"/>
    <col customWidth="1" min="3" max="4" width="25.71"/>
    <col customWidth="1" min="5" max="5" width="2.43"/>
    <col customWidth="1" min="6" max="6" width="40.71"/>
    <col customWidth="1" min="7" max="8" width="25.71"/>
    <col customWidth="1" min="9" max="9" width="3.71"/>
    <col customWidth="1" min="10" max="10" width="14.0"/>
    <col customWidth="1" min="11" max="11" width="1.71"/>
    <col customWidth="1" min="12" max="12" width="11.43"/>
    <col customWidth="1" min="13" max="13" width="13.0"/>
    <col customWidth="1" min="14" max="14" width="27.14"/>
    <col customWidth="1" min="15" max="26" width="11.43"/>
  </cols>
  <sheetData>
    <row r="1" ht="15.0" customHeight="1">
      <c r="A1" s="1"/>
      <c r="B1" s="1"/>
      <c r="C1" s="2" t="str">
        <f>+TABLAS!$A$4</f>
        <v>#REF!</v>
      </c>
      <c r="D1" s="2"/>
      <c r="E1" s="15"/>
      <c r="F1" s="1"/>
      <c r="G1" s="5"/>
      <c r="H1" s="16"/>
      <c r="I1" s="1"/>
      <c r="J1" s="1"/>
      <c r="K1" s="1"/>
      <c r="L1" s="1"/>
      <c r="M1" s="1"/>
      <c r="N1" s="1" t="s">
        <v>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5.0" customHeight="1">
      <c r="A2" s="1"/>
      <c r="B2" s="1"/>
      <c r="C2" s="3"/>
      <c r="D2" s="2"/>
      <c r="E2" s="15"/>
      <c r="F2" s="1"/>
      <c r="G2" s="5"/>
      <c r="H2" s="16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5.0" customHeight="1">
      <c r="A3" s="1"/>
      <c r="B3" s="1"/>
      <c r="C3" s="3"/>
      <c r="D3" s="2"/>
      <c r="E3" s="15"/>
      <c r="F3" s="1"/>
      <c r="G3" s="5"/>
      <c r="H3" s="16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0" customHeight="1">
      <c r="A4" s="1"/>
      <c r="B4" s="1"/>
      <c r="C4" s="3" t="str">
        <f>+TABLAS!$C$5</f>
        <v>#REF!</v>
      </c>
      <c r="D4" s="3" t="str">
        <f>+TABLAS!$E$5</f>
        <v>#REF!</v>
      </c>
      <c r="E4" s="15"/>
      <c r="F4" s="1"/>
      <c r="G4" s="5"/>
      <c r="H4" s="16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0" customHeight="1">
      <c r="A5" s="1"/>
      <c r="B5" s="1"/>
      <c r="C5" s="4" t="str">
        <f>+TABLAS!$B$5</f>
        <v>#REF!</v>
      </c>
      <c r="D5" s="4" t="str">
        <f>+TABLAS!$D$5</f>
        <v>#REF!</v>
      </c>
      <c r="E5" s="15"/>
      <c r="F5" s="1"/>
      <c r="G5" s="5"/>
      <c r="H5" s="16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/>
      <c r="C6" s="5"/>
      <c r="D6" s="1"/>
      <c r="E6" s="15"/>
      <c r="F6" s="1"/>
      <c r="G6" s="5"/>
      <c r="H6" s="16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/>
      <c r="B7" s="1"/>
      <c r="C7" s="5"/>
      <c r="D7" s="1"/>
      <c r="E7" s="15"/>
      <c r="F7" s="1"/>
      <c r="G7" s="5"/>
      <c r="H7" s="16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/>
      <c r="B8" s="1"/>
      <c r="C8" s="5"/>
      <c r="D8" s="1"/>
      <c r="E8" s="15"/>
      <c r="F8" s="1"/>
      <c r="G8" s="5"/>
      <c r="H8" s="16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"/>
      <c r="B9" s="17"/>
      <c r="C9" s="7"/>
      <c r="D9" s="17"/>
      <c r="E9" s="18"/>
      <c r="F9" s="17"/>
      <c r="G9" s="7"/>
      <c r="H9" s="1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3"/>
      <c r="B10" s="1"/>
      <c r="C10" s="5"/>
      <c r="D10" s="1"/>
      <c r="E10" s="15"/>
      <c r="F10" s="1"/>
      <c r="G10" s="5"/>
      <c r="H10" s="16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3"/>
      <c r="B11" s="1"/>
      <c r="C11" s="5"/>
      <c r="D11" s="16">
        <f>SUM($D$13:$D$20)</f>
        <v>0</v>
      </c>
      <c r="E11" s="20"/>
      <c r="F11" s="1"/>
      <c r="G11" s="5"/>
      <c r="H11" s="16">
        <f>+SUM(H13:$H$20)</f>
        <v>0</v>
      </c>
      <c r="I11" s="1"/>
      <c r="J11" s="21">
        <f>D11-H11</f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22" t="s">
        <v>4</v>
      </c>
      <c r="C12" s="23" t="s">
        <v>5</v>
      </c>
      <c r="D12" s="24" t="s">
        <v>6</v>
      </c>
      <c r="E12" s="25"/>
      <c r="F12" s="22" t="s">
        <v>4</v>
      </c>
      <c r="G12" s="23" t="s">
        <v>5</v>
      </c>
      <c r="H12" s="26" t="s">
        <v>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2" t="str">
        <f t="array" ref="B13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MP'!$A$2)+1),ROWS($B$13:B13)),COLUMNS($B$13:B13)),"")</f>
        <v/>
      </c>
      <c r="C13" s="11" t="str">
        <f t="array" ref="C13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MP'!$A$2)+1),ROWS($B$13:E13)),COLUMNS($B$13:E13)),"")</f>
        <v/>
      </c>
      <c r="D13" s="10" t="str">
        <f t="array" ref="D13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MP'!$A$2)+1),ROWS($B$13:D13)),COLUMNS($B$13:G13)),"")</f>
        <v/>
      </c>
      <c r="E13" s="27"/>
      <c r="F13" s="12" t="str">
        <f t="array" ref="F13">IFERROR(INDEX('No conciliado'!$O$3:$T$500,SMALL(IF(('No conciliado'!$P$3:$P$500&gt;=$C$5)*('No conciliado'!$P$3:$P$500&lt;$D$5)*('No conciliado'!$S$3:$S$500=$C$1),ROW('No conciliado'!$O$3:$T$500)-ROW('No conciliado'!$O$3)+1),ROWS($F$13:F13)),COLUMNS($F$13:F13)),"")</f>
        <v/>
      </c>
      <c r="G13" s="11" t="str">
        <f t="array" ref="G13">IFERROR(INDEX('No conciliado'!$O$3:$T$500,SMALL(IF(('No conciliado'!$P$3:$P$500&gt;=$C$5)*('No conciliado'!$P$3:$P$500&lt;$D$5)*('No conciliado'!$S$3:$S$500=$C$1),ROW('No conciliado'!$O$3:$T$500)-ROW('No conciliado'!$O$3)+1),ROWS($F$13:I13)),COLUMNS($F$13:I13)),"")</f>
        <v/>
      </c>
      <c r="H13" s="10" t="str">
        <f t="array" ref="H13">IFERROR(INDEX('No conciliado'!$O$3:$T$500,SMALL(IF(('No conciliado'!$P$3:$P$500&gt;=$C$5)*('No conciliado'!$P$3:$P$500&lt;$D$5)*('No conciliado'!$S$3:$S$500=$C$1),ROW('No conciliado'!$O$3:$T$500)-ROW('No conciliado'!$O$3)+1),ROWS($F$13:K13)),COLUMNS($F$13:K13)),"")</f>
        <v/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2" t="str">
        <f t="array" ref="B14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MP'!$A$2)+1),ROWS($B$13:B14)),COLUMNS($B$13:B14)),"")</f>
        <v/>
      </c>
      <c r="C14" s="11" t="str">
        <f t="array" ref="C14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MP'!$A$2)+1),ROWS($B$13:E14)),COLUMNS($B$13:E14)),"")</f>
        <v/>
      </c>
      <c r="D14" s="10" t="str">
        <f t="array" ref="D14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MP'!$A$2)+1),ROWS($B$13:D14)),COLUMNS($B$13:G14)),"")</f>
        <v/>
      </c>
      <c r="E14" s="27"/>
      <c r="F14" s="12" t="str">
        <f t="array" ref="F14">IFERROR(INDEX('No conciliado'!$O$3:$T$500,SMALL(IF(('No conciliado'!$P$3:$P$500&gt;=$C$5)*('No conciliado'!$P$3:$P$500&lt;$D$5)*('No conciliado'!$S$3:$S$500=$C$1),ROW('No conciliado'!$O$3:$T$500)-ROW('No conciliado'!$O$3)+1),ROWS($F$13:F14)),COLUMNS($F$13:F14)),"")</f>
        <v/>
      </c>
      <c r="G14" s="11" t="str">
        <f t="array" ref="G14">IFERROR(INDEX('No conciliado'!$O$3:$T$500,SMALL(IF(('No conciliado'!$P$3:$P$500&gt;=$C$5)*('No conciliado'!$P$3:$P$500&lt;$D$5)*('No conciliado'!$S$3:$S$500=$C$1),ROW('No conciliado'!$O$3:$T$500)-ROW('No conciliado'!$O$3)+1),ROWS($F$13:I14)),COLUMNS($F$13:I14)),"")</f>
        <v/>
      </c>
      <c r="H14" s="10" t="str">
        <f t="array" ref="H14">IFERROR(INDEX('No conciliado'!$O$3:$T$500,SMALL(IF(('No conciliado'!$P$3:$P$500&gt;=$C$5)*('No conciliado'!$P$3:$P$500&lt;$D$5)*('No conciliado'!$S$3:$S$500=$C$1),ROW('No conciliado'!$O$3:$T$500)-ROW('No conciliado'!$O$3)+1),ROWS($F$13:K14)),COLUMNS($F$13:K14)),"")</f>
        <v/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2" t="str">
        <f t="array" ref="B15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MP'!$A$2)+1),ROWS($B$13:B15)),COLUMNS($B$13:B15)),"")</f>
        <v/>
      </c>
      <c r="C15" s="11" t="str">
        <f t="array" ref="C15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MP'!$A$2)+1),ROWS($B$13:E15)),COLUMNS($B$13:E15)),"")</f>
        <v/>
      </c>
      <c r="D15" s="10" t="str">
        <f t="array" ref="D15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MP'!$A$2)+1),ROWS($B$13:D15)),COLUMNS($B$13:G15)),"")</f>
        <v/>
      </c>
      <c r="E15" s="27"/>
      <c r="F15" s="12" t="str">
        <f t="array" ref="F15">IFERROR(INDEX('No conciliado'!$O$3:$T$500,SMALL(IF(('No conciliado'!$P$3:$P$500&gt;=$C$5)*('No conciliado'!$P$3:$P$500&lt;$D$5)*('No conciliado'!$S$3:$S$500=$C$1),ROW('No conciliado'!$O$3:$T$500)-ROW('No conciliado'!$O$3)+1),ROWS($F$13:F15)),COLUMNS($F$13:F15)),"")</f>
        <v/>
      </c>
      <c r="G15" s="11" t="str">
        <f t="array" ref="G15">IFERROR(INDEX('No conciliado'!$O$3:$T$500,SMALL(IF(('No conciliado'!$P$3:$P$500&gt;=$C$5)*('No conciliado'!$P$3:$P$500&lt;$D$5)*('No conciliado'!$S$3:$S$500=$C$1),ROW('No conciliado'!$O$3:$T$500)-ROW('No conciliado'!$O$3)+1),ROWS($F$13:I15)),COLUMNS($F$13:I15)),"")</f>
        <v/>
      </c>
      <c r="H15" s="10" t="str">
        <f t="array" ref="H15">IFERROR(INDEX('No conciliado'!$O$3:$T$500,SMALL(IF(('No conciliado'!$P$3:$P$500&gt;=$C$5)*('No conciliado'!$P$3:$P$500&lt;$D$5)*('No conciliado'!$S$3:$S$500=$C$1),ROW('No conciliado'!$O$3:$T$500)-ROW('No conciliado'!$O$3)+1),ROWS($F$13:K15)),COLUMNS($F$13:K15)),"")</f>
        <v/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2" t="str">
        <f t="array" ref="B16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MP'!$A$2)+1),ROWS($B$13:B16)),COLUMNS($B$13:B16)),"")</f>
        <v/>
      </c>
      <c r="C16" s="11" t="str">
        <f t="array" ref="C16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MP'!$A$2)+1),ROWS($B$13:E16)),COLUMNS($B$13:E16)),"")</f>
        <v/>
      </c>
      <c r="D16" s="10" t="str">
        <f t="array" ref="D16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MP'!$A$2)+1),ROWS($B$13:D16)),COLUMNS($B$13:G16)),"")</f>
        <v/>
      </c>
      <c r="E16" s="27"/>
      <c r="F16" s="12" t="str">
        <f t="array" ref="F16">IFERROR(INDEX('No conciliado'!$O$3:$T$500,SMALL(IF(('No conciliado'!$P$3:$P$500&gt;=$C$5)*('No conciliado'!$P$3:$P$500&lt;$D$5)*('No conciliado'!$S$3:$S$500=$C$1),ROW('No conciliado'!$O$3:$T$500)-ROW('No conciliado'!$O$3)+1),ROWS($F$13:F16)),COLUMNS($F$13:F16)),"")</f>
        <v/>
      </c>
      <c r="G16" s="11" t="str">
        <f t="array" ref="G16">IFERROR(INDEX('No conciliado'!$O$3:$T$500,SMALL(IF(('No conciliado'!$P$3:$P$500&gt;=$C$5)*('No conciliado'!$P$3:$P$500&lt;$D$5)*('No conciliado'!$S$3:$S$500=$C$1),ROW('No conciliado'!$O$3:$T$500)-ROW('No conciliado'!$O$3)+1),ROWS($F$13:I16)),COLUMNS($F$13:I16)),"")</f>
        <v/>
      </c>
      <c r="H16" s="10" t="str">
        <f t="array" ref="H16">IFERROR(INDEX('No conciliado'!$O$3:$T$500,SMALL(IF(('No conciliado'!$P$3:$P$500&gt;=$C$5)*('No conciliado'!$P$3:$P$500&lt;$D$5)*('No conciliado'!$S$3:$S$500=$C$1),ROW('No conciliado'!$O$3:$T$500)-ROW('No conciliado'!$O$3)+1),ROWS($F$13:K16)),COLUMNS($F$13:K16)),"")</f>
        <v/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2" t="str">
        <f t="array" ref="B17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MP'!$A$2)+1),ROWS($B$13:B17)),COLUMNS($B$13:B17)),"")</f>
        <v/>
      </c>
      <c r="C17" s="11" t="str">
        <f t="array" ref="C17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MP'!$A$2)+1),ROWS($B$13:E17)),COLUMNS($B$13:E17)),"")</f>
        <v/>
      </c>
      <c r="D17" s="10" t="str">
        <f t="array" ref="D17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MP'!$A$2)+1),ROWS($B$13:D17)),COLUMNS($B$13:G17)),"")</f>
        <v/>
      </c>
      <c r="E17" s="27"/>
      <c r="F17" s="12" t="str">
        <f t="array" ref="F17">IFERROR(INDEX('No conciliado'!$O$3:$T$500,SMALL(IF(('No conciliado'!$P$3:$P$500&gt;=$C$5)*('No conciliado'!$P$3:$P$500&lt;$D$5)*('No conciliado'!$S$3:$S$500=$C$1),ROW('No conciliado'!$O$3:$T$500)-ROW('No conciliado'!$O$3)+1),ROWS($F$13:F17)),COLUMNS($F$13:F17)),"")</f>
        <v/>
      </c>
      <c r="G17" s="11" t="str">
        <f t="array" ref="G17">IFERROR(INDEX('No conciliado'!$O$3:$T$500,SMALL(IF(('No conciliado'!$P$3:$P$500&gt;=$C$5)*('No conciliado'!$P$3:$P$500&lt;$D$5)*('No conciliado'!$S$3:$S$500=$C$1),ROW('No conciliado'!$O$3:$T$500)-ROW('No conciliado'!$O$3)+1),ROWS($F$13:I17)),COLUMNS($F$13:I17)),"")</f>
        <v/>
      </c>
      <c r="H17" s="10" t="str">
        <f t="array" ref="H17">IFERROR(INDEX('No conciliado'!$O$3:$T$500,SMALL(IF(('No conciliado'!$P$3:$P$500&gt;=$C$5)*('No conciliado'!$P$3:$P$500&lt;$D$5)*('No conciliado'!$S$3:$S$500=$C$1),ROW('No conciliado'!$O$3:$T$500)-ROW('No conciliado'!$O$3)+1),ROWS($F$13:K17)),COLUMNS($F$13:K17)),"")</f>
        <v/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2" t="str">
        <f t="array" ref="B18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MP'!$A$2)+1),ROWS($B$13:B18)),COLUMNS($B$13:B18)),"")</f>
        <v/>
      </c>
      <c r="C18" s="11" t="str">
        <f t="array" ref="C18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MP'!$A$2)+1),ROWS($B$13:E18)),COLUMNS($B$13:E18)),"")</f>
        <v/>
      </c>
      <c r="D18" s="10" t="str">
        <f t="array" ref="D18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MP'!$A$2)+1),ROWS($B$13:D18)),COLUMNS($B$13:G18)),"")</f>
        <v/>
      </c>
      <c r="E18" s="27"/>
      <c r="F18" s="12" t="str">
        <f t="array" ref="F18">IFERROR(INDEX('No conciliado'!$O$3:$T$500,SMALL(IF(('No conciliado'!$P$3:$P$500&gt;=$C$5)*('No conciliado'!$P$3:$P$500&lt;$D$5)*('No conciliado'!$S$3:$S$500=$C$1),ROW('No conciliado'!$O$3:$T$500)-ROW('No conciliado'!$O$3)+1),ROWS($F$13:F18)),COLUMNS($F$13:F18)),"")</f>
        <v/>
      </c>
      <c r="G18" s="11" t="str">
        <f t="array" ref="G18">IFERROR(INDEX('No conciliado'!$O$3:$T$500,SMALL(IF(('No conciliado'!$P$3:$P$500&gt;=$C$5)*('No conciliado'!$P$3:$P$500&lt;$D$5)*('No conciliado'!$S$3:$S$500=$C$1),ROW('No conciliado'!$O$3:$T$500)-ROW('No conciliado'!$O$3)+1),ROWS($F$13:I18)),COLUMNS($F$13:I18)),"")</f>
        <v/>
      </c>
      <c r="H18" s="10" t="str">
        <f t="array" ref="H18">IFERROR(INDEX('No conciliado'!$O$3:$T$500,SMALL(IF(('No conciliado'!$P$3:$P$500&gt;=$C$5)*('No conciliado'!$P$3:$P$500&lt;$D$5)*('No conciliado'!$S$3:$S$500=$C$1),ROW('No conciliado'!$O$3:$T$500)-ROW('No conciliado'!$O$3)+1),ROWS($F$13:K18)),COLUMNS($F$13:K18)),"")</f>
        <v/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12" t="str">
        <f t="array" ref="B19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MP'!$A$2)+1),ROWS($B$13:B19)),COLUMNS($B$13:B19)),"")</f>
        <v/>
      </c>
      <c r="C19" s="11" t="str">
        <f t="array" ref="C19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MP'!$A$2)+1),ROWS($B$13:E19)),COLUMNS($B$13:E19)),"")</f>
        <v/>
      </c>
      <c r="D19" s="10" t="str">
        <f t="array" ref="D19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MP'!$A$2)+1),ROWS($B$13:D19)),COLUMNS($B$13:G19)),"")</f>
        <v/>
      </c>
      <c r="E19" s="27"/>
      <c r="F19" s="12" t="str">
        <f t="array" ref="F19">IFERROR(INDEX('No conciliado'!$O$3:$T$500,SMALL(IF(('No conciliado'!$P$3:$P$500&gt;=$C$5)*('No conciliado'!$P$3:$P$500&lt;$D$5)*('No conciliado'!$S$3:$S$500=$C$1),ROW('No conciliado'!$O$3:$T$500)-ROW('No conciliado'!$O$3)+1),ROWS($F$13:F19)),COLUMNS($F$13:F19)),"")</f>
        <v/>
      </c>
      <c r="G19" s="11" t="str">
        <f t="array" ref="G19">IFERROR(INDEX('No conciliado'!$O$3:$T$500,SMALL(IF(('No conciliado'!$P$3:$P$500&gt;=$C$5)*('No conciliado'!$P$3:$P$500&lt;$D$5)*('No conciliado'!$S$3:$S$500=$C$1),ROW('No conciliado'!$O$3:$T$500)-ROW('No conciliado'!$O$3)+1),ROWS($F$13:I19)),COLUMNS($F$13:I19)),"")</f>
        <v/>
      </c>
      <c r="H19" s="10" t="str">
        <f t="array" ref="H19">IFERROR(INDEX('No conciliado'!$O$3:$T$500,SMALL(IF(('No conciliado'!$P$3:$P$500&gt;=$C$5)*('No conciliado'!$P$3:$P$500&lt;$D$5)*('No conciliado'!$S$3:$S$500=$C$1),ROW('No conciliado'!$O$3:$T$500)-ROW('No conciliado'!$O$3)+1),ROWS($F$13:K19)),COLUMNS($F$13:K19)),"")</f>
        <v/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2" t="str">
        <f t="array" ref="B20">IFERROR(INDEX('No Conciliado MP'!$A$2:$G$500,SMALL(IF(('No Conciliado MP'!$B$2:$B$500&gt;=$C$5)*('No Conciliado MP'!$B$2:$B$500&lt;$D$5)*('No Conciliado MP'!$E$2:$E$500=$C$1)*('No Conciliado MP'!$G$2:$G$500&lt;&gt;"INTERNO"),ROW('No Conciliado MP'!$A$2:$G$500)-ROW('No Conciliado MP'!$A$2)+1),ROWS($B$13:B20)),COLUMNS($B$13:B20)),"")</f>
        <v/>
      </c>
      <c r="C20" s="11" t="str">
        <f t="array" ref="C20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MP'!$A$2)+1),ROWS($B$13:E20)),COLUMNS($B$13:E20)),"")</f>
        <v/>
      </c>
      <c r="D20" s="10" t="str">
        <f t="array" ref="D20">IFERROR(INDEX('No Conciliado MP'!$A$2:$G$500,SMALL(IF(('No Conciliado MP'!$B$2:$B$500&gt;=$C$5)*('No Conciliado MP'!$B$2:$B$500&lt;$D$5)*('No Conciliado MP'!$E$2:$E$500=$C$1)*('No Conciliado MP'!$G$2:$G$500&lt;&gt;"INTERNO")*('No Conciliado MP'!$G$2:$G$500&lt;&gt;"INGRESOS EXTRAS"),ROW('No Conciliado MP'!$A$2:$G$500)-ROW('No Conciliado MP'!$A$2)+1),ROWS($B$13:D20)),COLUMNS($B$13:G20)),"")</f>
        <v/>
      </c>
      <c r="E20" s="27"/>
      <c r="F20" s="12" t="str">
        <f t="array" ref="F20">IFERROR(INDEX('No conciliado'!$O$3:$T$500,SMALL(IF(('No conciliado'!$P$3:$P$500&gt;=$C$5)*('No conciliado'!$P$3:$P$500&lt;$D$5)*('No conciliado'!$S$3:$S$500=$C$1),ROW('No conciliado'!$O$3:$T$500)-ROW('No conciliado'!$O$3)+1),ROWS($F$13:F20)),COLUMNS($F$13:F20)),"")</f>
        <v/>
      </c>
      <c r="G20" s="11" t="str">
        <f t="array" ref="G20">IFERROR(INDEX('No conciliado'!$O$3:$T$500,SMALL(IF(('No conciliado'!$P$3:$P$500&gt;=$C$5)*('No conciliado'!$P$3:$P$500&lt;$D$5)*('No conciliado'!$S$3:$S$500=$C$1),ROW('No conciliado'!$O$3:$T$500)-ROW('No conciliado'!$O$3)+1),ROWS($F$13:I20)),COLUMNS($F$13:I20)),"")</f>
        <v/>
      </c>
      <c r="H20" s="10" t="str">
        <f t="array" ref="H20">IFERROR(INDEX('No conciliado'!$O$3:$T$500,SMALL(IF(('No conciliado'!$P$3:$P$500&gt;=$C$5)*('No conciliado'!$P$3:$P$500&lt;$D$5)*('No conciliado'!$S$3:$S$500=$C$1),ROW('No conciliado'!$O$3:$T$500)-ROW('No conciliado'!$O$3)+1),ROWS($F$13:K20)),COLUMNS($F$13:K20)),"")</f>
        <v/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"/>
      <c r="C22" s="5"/>
      <c r="D22" s="1"/>
      <c r="E22" s="15"/>
      <c r="F22" s="1"/>
      <c r="G22" s="5"/>
      <c r="H22" s="16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"/>
      <c r="C23" s="5"/>
      <c r="D23" s="1"/>
      <c r="E23" s="15"/>
      <c r="F23" s="1"/>
      <c r="G23" s="5"/>
      <c r="H23" s="16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"/>
      <c r="C24" s="5"/>
      <c r="D24" s="1"/>
      <c r="E24" s="15"/>
      <c r="F24" s="1"/>
      <c r="G24" s="5"/>
      <c r="H24" s="16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7"/>
      <c r="C25" s="7"/>
      <c r="D25" s="17"/>
      <c r="E25" s="18"/>
      <c r="F25" s="17"/>
      <c r="G25" s="7"/>
      <c r="H25" s="19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"/>
      <c r="C26" s="5"/>
      <c r="D26" s="1"/>
      <c r="E26" s="15"/>
      <c r="F26" s="1"/>
      <c r="G26" s="5"/>
      <c r="H26" s="16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"/>
      <c r="C27" s="5"/>
      <c r="D27" s="16">
        <f>+SUM(D29:D36)</f>
        <v>0</v>
      </c>
      <c r="E27" s="15"/>
      <c r="F27" s="1"/>
      <c r="G27" s="5"/>
      <c r="H27" s="16">
        <f>+SUM($H$29:$H$36)</f>
        <v>0</v>
      </c>
      <c r="I27" s="1"/>
      <c r="J27" s="21">
        <f>+D27-H27</f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22" t="s">
        <v>4</v>
      </c>
      <c r="C28" s="23" t="s">
        <v>5</v>
      </c>
      <c r="D28" s="24" t="s">
        <v>6</v>
      </c>
      <c r="E28" s="25"/>
      <c r="F28" s="22" t="s">
        <v>4</v>
      </c>
      <c r="G28" s="23" t="s">
        <v>5</v>
      </c>
      <c r="H28" s="26" t="s">
        <v>6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0" t="str">
        <f t="array" ref="B29">IFERROR(INDEX('No conciliado'!$H$3:$M$500,SMALL(IF(('No conciliado'!$I$3:$I$500&gt;=$C$5)*('No conciliado'!$I$3:$I$500&lt;$D$5)*('No conciliado'!$L$3:$L$500=$C$1),ROW('No conciliado'!$H$3:$M$500)-ROW('No conciliado'!$H$3)+1),ROWS($B$29:B29)),COLUMNS($B$29:B29)),"")</f>
        <v/>
      </c>
      <c r="C29" s="11" t="str">
        <f t="array" ref="C29">IFERROR(INDEX('No conciliado'!$H$3:$M$500,SMALL(IF(('No conciliado'!$I$3:$I$500&gt;=$C$5)*('No conciliado'!$I$3:$I$500&lt;$D$5)*('No conciliado'!$L$3:$L$500=$C$1),ROW('No conciliado'!$H$3:$M$500)-ROW('No conciliado'!$H$3)+1),ROWS($B$29:E29)),COLUMNS($B$29:E29)),"")</f>
        <v/>
      </c>
      <c r="D29" s="28" t="str">
        <f t="array" ref="D29">IFERROR(INDEX('No conciliado'!$H$3:$M$500,SMALL(IF(('No conciliado'!$I$3:$I$500&gt;=$C$5)*('No conciliado'!$I$3:$I$500&lt;$D$5)*('No conciliado'!$L$3:$L$500=$C$1),ROW('No conciliado'!$H$3:$M$500)-ROW('No conciliado'!$H$3)+1),ROWS($B$29:G29)),COLUMNS($B$29:G29)),"")</f>
        <v/>
      </c>
      <c r="E29" s="27"/>
      <c r="F29" s="12" t="str">
        <f t="array" ref="F29">IFERROR(INDEX('No conciliado'!$V$3:$AA$500,SMALL(IF(('No conciliado'!$W$3:$W$500&gt;=$C$5)*('No conciliado'!$W$3:$W$500&lt;$D$5)*('No conciliado'!$Z$3:$Z$500=$C$1),ROW('No conciliado'!$V$3:$AA$500)-ROW('No conciliado'!$V$3)+1),ROWS($F$29:F29)),COLUMNS($F$29:F29)),"")</f>
        <v/>
      </c>
      <c r="G29" s="11" t="str">
        <f t="array" ref="G29">IFERROR(INDEX('No conciliado'!$V$3:$AA$500,SMALL(IF(('No conciliado'!$W$3:$W$500&gt;=$C$5)*('No conciliado'!$W$3:$W$500&lt;$D$5)*('No conciliado'!$Z$3:$Z$500=$C$1),ROW('No conciliado'!$V$3:$AA$500)-ROW('No conciliado'!$V$3)+1),ROWS($F$29:I29)),COLUMNS($F$29:I29)),"")</f>
        <v/>
      </c>
      <c r="H29" s="10" t="str">
        <f t="array" ref="H29">IFERROR(INDEX('No conciliado'!$V$3:$AA$500,SMALL(IF(('No conciliado'!$W$3:$W$500&gt;=$C$5)*('No conciliado'!$W$3:$W$500&lt;$D$5)*('No conciliado'!$Z$3:$Z$500=$C$1),ROW('No conciliado'!$V$3:$AA$500)-ROW('No conciliado'!$V$3)+1),ROWS($F$29:K29)),COLUMNS($F$29:K29)),"")</f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0" t="str">
        <f t="array" ref="B30">IFERROR(INDEX('No conciliado'!$H$3:$M$500,SMALL(IF(('No conciliado'!$I$3:$I$500&gt;=$C$5)*('No conciliado'!$I$3:$I$500&lt;$D$5)*('No conciliado'!$L$3:$L$500=$C$1),ROW('No conciliado'!$H$3:$M$500)-ROW('No conciliado'!$H$3)+1),ROWS($B$29:B30)),COLUMNS($B$29:B30)),"")</f>
        <v/>
      </c>
      <c r="C30" s="11" t="str">
        <f t="array" ref="C30">IFERROR(INDEX('No conciliado'!$H$3:$M$500,SMALL(IF(('No conciliado'!$I$3:$I$500&gt;=$C$5)*('No conciliado'!$I$3:$I$500&lt;$D$5)*('No conciliado'!$L$3:$L$500=$C$1),ROW('No conciliado'!$H$3:$M$500)-ROW('No conciliado'!$H$3)+1),ROWS($B$29:E30)),COLUMNS($B$29:E30)),"")</f>
        <v/>
      </c>
      <c r="D30" s="28" t="str">
        <f t="array" ref="D30">IFERROR(INDEX('No conciliado'!$H$3:$M$500,SMALL(IF(('No conciliado'!$I$3:$I$500&gt;=$C$5)*('No conciliado'!$I$3:$I$500&lt;$D$5)*('No conciliado'!$L$3:$L$500=$C$1),ROW('No conciliado'!$H$3:$M$500)-ROW('No conciliado'!$H$3)+1),ROWS($B$29:G30)),COLUMNS($B$29:G30)),"")</f>
        <v/>
      </c>
      <c r="E30" s="27"/>
      <c r="F30" s="12" t="str">
        <f t="array" ref="F30">IFERROR(INDEX('No conciliado'!$V$3:$AA$500,SMALL(IF(('No conciliado'!$W$3:$W$500&gt;=$C$5)*('No conciliado'!$W$3:$W$500&lt;$D$5)*('No conciliado'!$Z$3:$Z$500=$C$1),ROW('No conciliado'!$V$3:$AA$500)-ROW('No conciliado'!$V$3)+1),ROWS($F$29:F30)),COLUMNS($F$29:F30)),"")</f>
        <v/>
      </c>
      <c r="G30" s="11" t="str">
        <f t="array" ref="G30">IFERROR(INDEX('No conciliado'!$V$3:$AA$500,SMALL(IF(('No conciliado'!$W$3:$W$500&gt;=$C$5)*('No conciliado'!$W$3:$W$500&lt;$D$5)*('No conciliado'!$Z$3:$Z$500=$C$1),ROW('No conciliado'!$V$3:$AA$500)-ROW('No conciliado'!$V$3)+1),ROWS($F$29:I30)),COLUMNS($F$29:I30)),"")</f>
        <v/>
      </c>
      <c r="H30" s="10" t="str">
        <f t="array" ref="H30">IFERROR(INDEX('No conciliado'!$V$3:$AA$500,SMALL(IF(('No conciliado'!$W$3:$W$500&gt;=$C$5)*('No conciliado'!$W$3:$W$500&lt;$D$5)*('No conciliado'!$Z$3:$Z$500=$C$1),ROW('No conciliado'!$V$3:$AA$500)-ROW('No conciliado'!$V$3)+1),ROWS($F$29:K30)),COLUMNS($F$29:K30)),"")</f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0" t="str">
        <f t="array" ref="B31">IFERROR(INDEX('No conciliado'!$H$3:$M$500,SMALL(IF(('No conciliado'!$I$3:$I$500&gt;=$C$5)*('No conciliado'!$I$3:$I$500&lt;$D$5)*('No conciliado'!$L$3:$L$500=$C$1),ROW('No conciliado'!$H$3:$M$500)-ROW('No conciliado'!$H$3)+1),ROWS($B$29:B31)),COLUMNS($B$29:B31)),"")</f>
        <v/>
      </c>
      <c r="C31" s="11" t="str">
        <f t="array" ref="C31">IFERROR(INDEX('No conciliado'!$H$3:$M$500,SMALL(IF(('No conciliado'!$I$3:$I$500&gt;=$C$5)*('No conciliado'!$I$3:$I$500&lt;$D$5)*('No conciliado'!$L$3:$L$500=$C$1),ROW('No conciliado'!$H$3:$M$500)-ROW('No conciliado'!$H$3)+1),ROWS($B$29:E31)),COLUMNS($B$29:E31)),"")</f>
        <v/>
      </c>
      <c r="D31" s="28" t="str">
        <f t="array" ref="D31">IFERROR(INDEX('No conciliado'!$H$3:$M$500,SMALL(IF(('No conciliado'!$I$3:$I$500&gt;=$C$5)*('No conciliado'!$I$3:$I$500&lt;$D$5)*('No conciliado'!$L$3:$L$500=$C$1),ROW('No conciliado'!$H$3:$M$500)-ROW('No conciliado'!$H$3)+1),ROWS($B$29:G31)),COLUMNS($B$29:G31)),"")</f>
        <v/>
      </c>
      <c r="E31" s="27"/>
      <c r="F31" s="12" t="str">
        <f t="array" ref="F31">IFERROR(INDEX('No conciliado'!$V$3:$AA$500,SMALL(IF(('No conciliado'!$W$3:$W$500&gt;=$C$5)*('No conciliado'!$W$3:$W$500&lt;$D$5)*('No conciliado'!$Z$3:$Z$500=$C$1),ROW('No conciliado'!$V$3:$AA$500)-ROW('No conciliado'!$V$3)+1),ROWS($F$29:F31)),COLUMNS($F$29:F31)),"")</f>
        <v/>
      </c>
      <c r="G31" s="11" t="str">
        <f t="array" ref="G31">IFERROR(INDEX('No conciliado'!$V$3:$AA$500,SMALL(IF(('No conciliado'!$W$3:$W$500&gt;=$C$5)*('No conciliado'!$W$3:$W$500&lt;$D$5)*('No conciliado'!$Z$3:$Z$500=$C$1),ROW('No conciliado'!$V$3:$AA$500)-ROW('No conciliado'!$V$3)+1),ROWS($F$29:I31)),COLUMNS($F$29:I31)),"")</f>
        <v/>
      </c>
      <c r="H31" s="10" t="str">
        <f t="array" ref="H31">IFERROR(INDEX('No conciliado'!$V$3:$AA$500,SMALL(IF(('No conciliado'!$W$3:$W$500&gt;=$C$5)*('No conciliado'!$W$3:$W$500&lt;$D$5)*('No conciliado'!$Z$3:$Z$500=$C$1),ROW('No conciliado'!$V$3:$AA$500)-ROW('No conciliado'!$V$3)+1),ROWS($F$29:K31)),COLUMNS($F$29:K31)),"")</f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0" t="str">
        <f t="array" ref="B32">IFERROR(INDEX('No conciliado'!$H$3:$M$500,SMALL(IF(('No conciliado'!$I$3:$I$500&gt;=$C$5)*('No conciliado'!$I$3:$I$500&lt;$D$5)*('No conciliado'!$L$3:$L$500=$C$1),ROW('No conciliado'!$H$3:$M$500)-ROW('No conciliado'!$H$3)+1),ROWS($B$29:B32)),COLUMNS($B$29:B32)),"")</f>
        <v/>
      </c>
      <c r="C32" s="11" t="str">
        <f t="array" ref="C32">IFERROR(INDEX('No conciliado'!$H$3:$M$500,SMALL(IF(('No conciliado'!$I$3:$I$500&gt;=$C$5)*('No conciliado'!$I$3:$I$500&lt;$D$5)*('No conciliado'!$L$3:$L$500=$C$1),ROW('No conciliado'!$H$3:$M$500)-ROW('No conciliado'!$H$3)+1),ROWS($B$29:E32)),COLUMNS($B$29:E32)),"")</f>
        <v/>
      </c>
      <c r="D32" s="28" t="str">
        <f t="array" ref="D32">IFERROR(INDEX('No conciliado'!$H$3:$M$500,SMALL(IF(('No conciliado'!$I$3:$I$500&gt;=$C$5)*('No conciliado'!$I$3:$I$500&lt;$D$5)*('No conciliado'!$L$3:$L$500=$C$1),ROW('No conciliado'!$H$3:$M$500)-ROW('No conciliado'!$H$3)+1),ROWS($B$29:G32)),COLUMNS($B$29:G32)),"")</f>
        <v/>
      </c>
      <c r="E32" s="27"/>
      <c r="F32" s="12" t="str">
        <f t="array" ref="F32">IFERROR(INDEX('No conciliado'!$V$3:$AA$500,SMALL(IF(('No conciliado'!$W$3:$W$500&gt;=$C$5)*('No conciliado'!$W$3:$W$500&lt;$D$5)*('No conciliado'!$Z$3:$Z$500=$C$1),ROW('No conciliado'!$V$3:$AA$500)-ROW('No conciliado'!$V$3)+1),ROWS($F$29:F32)),COLUMNS($F$29:F32)),"")</f>
        <v/>
      </c>
      <c r="G32" s="11" t="str">
        <f t="array" ref="G32">IFERROR(INDEX('No conciliado'!$V$3:$AA$500,SMALL(IF(('No conciliado'!$W$3:$W$500&gt;=$C$5)*('No conciliado'!$W$3:$W$500&lt;$D$5)*('No conciliado'!$Z$3:$Z$500=$C$1),ROW('No conciliado'!$V$3:$AA$500)-ROW('No conciliado'!$V$3)+1),ROWS($F$29:I32)),COLUMNS($F$29:I32)),"")</f>
        <v/>
      </c>
      <c r="H32" s="10" t="str">
        <f t="array" ref="H32">IFERROR(INDEX('No conciliado'!$V$3:$AA$500,SMALL(IF(('No conciliado'!$W$3:$W$500&gt;=$C$5)*('No conciliado'!$W$3:$W$500&lt;$D$5)*('No conciliado'!$Z$3:$Z$500=$C$1),ROW('No conciliado'!$V$3:$AA$500)-ROW('No conciliado'!$V$3)+1),ROWS($F$29:K32)),COLUMNS($F$29:K32)),"")</f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0" t="str">
        <f t="array" ref="B33">IFERROR(INDEX('No conciliado'!$H$3:$M$500,SMALL(IF(('No conciliado'!$I$3:$I$500&gt;=$C$5)*('No conciliado'!$I$3:$I$500&lt;$D$5)*('No conciliado'!$L$3:$L$500=$C$1),ROW('No conciliado'!$H$3:$M$500)-ROW('No conciliado'!$H$3)+1),ROWS($B$29:B33)),COLUMNS($B$29:B33)),"")</f>
        <v/>
      </c>
      <c r="C33" s="11" t="str">
        <f t="array" ref="C33">IFERROR(INDEX('No conciliado'!$H$3:$M$500,SMALL(IF(('No conciliado'!$I$3:$I$500&gt;=$C$5)*('No conciliado'!$I$3:$I$500&lt;$D$5)*('No conciliado'!$L$3:$L$500=$C$1),ROW('No conciliado'!$H$3:$M$500)-ROW('No conciliado'!$H$3)+1),ROWS($B$29:E33)),COLUMNS($B$29:E33)),"")</f>
        <v/>
      </c>
      <c r="D33" s="28" t="str">
        <f t="array" ref="D33">IFERROR(INDEX('No conciliado'!$H$3:$M$500,SMALL(IF(('No conciliado'!$I$3:$I$500&gt;=$C$5)*('No conciliado'!$I$3:$I$500&lt;$D$5)*('No conciliado'!$L$3:$L$500=$C$1),ROW('No conciliado'!$H$3:$M$500)-ROW('No conciliado'!$H$3)+1),ROWS($B$29:G33)),COLUMNS($B$29:G33)),"")</f>
        <v/>
      </c>
      <c r="E33" s="27"/>
      <c r="F33" s="12" t="str">
        <f t="array" ref="F33">IFERROR(INDEX('No conciliado'!$V$3:$AA$500,SMALL(IF(('No conciliado'!$W$3:$W$500&gt;=$C$5)*('No conciliado'!$W$3:$W$500&lt;$D$5)*('No conciliado'!$Z$3:$Z$500=$C$1),ROW('No conciliado'!$V$3:$AA$500)-ROW('No conciliado'!$V$3)+1),ROWS($F$29:F33)),COLUMNS($F$29:F33)),"")</f>
        <v/>
      </c>
      <c r="G33" s="11" t="str">
        <f t="array" ref="G33">IFERROR(INDEX('No conciliado'!$V$3:$AA$500,SMALL(IF(('No conciliado'!$W$3:$W$500&gt;=$C$5)*('No conciliado'!$W$3:$W$500&lt;$D$5)*('No conciliado'!$Z$3:$Z$500=$C$1),ROW('No conciliado'!$V$3:$AA$500)-ROW('No conciliado'!$V$3)+1),ROWS($F$29:I33)),COLUMNS($F$29:I33)),"")</f>
        <v/>
      </c>
      <c r="H33" s="10" t="str">
        <f t="array" ref="H33">IFERROR(INDEX('No conciliado'!$V$3:$AA$500,SMALL(IF(('No conciliado'!$W$3:$W$500&gt;=$C$5)*('No conciliado'!$W$3:$W$500&lt;$D$5)*('No conciliado'!$Z$3:$Z$500=$C$1),ROW('No conciliado'!$V$3:$AA$500)-ROW('No conciliado'!$V$3)+1),ROWS($F$29:K33)),COLUMNS($F$29:K33)),"")</f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0" t="str">
        <f t="array" ref="B34">IFERROR(INDEX('No conciliado'!$H$3:$M$500,SMALL(IF(('No conciliado'!$I$3:$I$500&gt;=$C$5)*('No conciliado'!$I$3:$I$500&lt;$D$5)*('No conciliado'!$L$3:$L$500=$C$1),ROW('No conciliado'!$H$3:$M$500)-ROW('No conciliado'!$H$3)+1),ROWS($B$29:B34)),COLUMNS($B$29:B34)),"")</f>
        <v/>
      </c>
      <c r="C34" s="11" t="str">
        <f t="array" ref="C34">IFERROR(INDEX('No conciliado'!$H$3:$M$500,SMALL(IF(('No conciliado'!$I$3:$I$500&gt;=$C$5)*('No conciliado'!$I$3:$I$500&lt;$D$5)*('No conciliado'!$L$3:$L$500=$C$1),ROW('No conciliado'!$H$3:$M$500)-ROW('No conciliado'!$H$3)+1),ROWS($B$29:E34)),COLUMNS($B$29:E34)),"")</f>
        <v/>
      </c>
      <c r="D34" s="28" t="str">
        <f t="array" ref="D34">IFERROR(INDEX('No conciliado'!$H$3:$M$500,SMALL(IF(('No conciliado'!$I$3:$I$500&gt;=$C$5)*('No conciliado'!$I$3:$I$500&lt;$D$5)*('No conciliado'!$L$3:$L$500=$C$1),ROW('No conciliado'!$H$3:$M$500)-ROW('No conciliado'!$H$3)+1),ROWS($B$29:G34)),COLUMNS($B$29:G34)),"")</f>
        <v/>
      </c>
      <c r="E34" s="27"/>
      <c r="F34" s="12" t="str">
        <f t="array" ref="F34">IFERROR(INDEX('No conciliado'!$V$3:$AA$500,SMALL(IF(('No conciliado'!$W$3:$W$500&gt;=$C$5)*('No conciliado'!$W$3:$W$500&lt;$D$5)*('No conciliado'!$Z$3:$Z$500=$C$1),ROW('No conciliado'!$V$3:$AA$500)-ROW('No conciliado'!$V$3)+1),ROWS($F$29:F34)),COLUMNS($F$29:F34)),"")</f>
        <v/>
      </c>
      <c r="G34" s="11" t="str">
        <f t="array" ref="G34">IFERROR(INDEX('No conciliado'!$V$3:$AA$500,SMALL(IF(('No conciliado'!$W$3:$W$500&gt;=$C$5)*('No conciliado'!$W$3:$W$500&lt;$D$5)*('No conciliado'!$Z$3:$Z$500=$C$1),ROW('No conciliado'!$V$3:$AA$500)-ROW('No conciliado'!$V$3)+1),ROWS($F$29:I34)),COLUMNS($F$29:I34)),"")</f>
        <v/>
      </c>
      <c r="H34" s="10" t="str">
        <f t="array" ref="H34">IFERROR(INDEX('No conciliado'!$V$3:$AA$500,SMALL(IF(('No conciliado'!$W$3:$W$500&gt;=$C$5)*('No conciliado'!$W$3:$W$500&lt;$D$5)*('No conciliado'!$Z$3:$Z$500=$C$1),ROW('No conciliado'!$V$3:$AA$500)-ROW('No conciliado'!$V$3)+1),ROWS($F$29:K34)),COLUMNS($F$29:K34)),"")</f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0" t="str">
        <f t="array" ref="B35">IFERROR(INDEX('No conciliado'!$H$3:$M$500,SMALL(IF(('No conciliado'!$I$3:$I$500&gt;=$C$5)*('No conciliado'!$I$3:$I$500&lt;$D$5)*('No conciliado'!$L$3:$L$500=$C$1),ROW('No conciliado'!$H$3:$M$500)-ROW('No conciliado'!$H$3)+1),ROWS($B$29:B35)),COLUMNS($B$29:B35)),"")</f>
        <v/>
      </c>
      <c r="C35" s="11" t="str">
        <f t="array" ref="C35">IFERROR(INDEX('No conciliado'!$H$3:$M$500,SMALL(IF(('No conciliado'!$I$3:$I$500&gt;=$C$5)*('No conciliado'!$I$3:$I$500&lt;$D$5)*('No conciliado'!$L$3:$L$500=$C$1),ROW('No conciliado'!$H$3:$M$500)-ROW('No conciliado'!$H$3)+1),ROWS($B$29:E35)),COLUMNS($B$29:E35)),"")</f>
        <v/>
      </c>
      <c r="D35" s="28" t="str">
        <f t="array" ref="D35">IFERROR(INDEX('No conciliado'!$H$3:$M$500,SMALL(IF(('No conciliado'!$I$3:$I$500&gt;=$C$5)*('No conciliado'!$I$3:$I$500&lt;$D$5)*('No conciliado'!$L$3:$L$500=$C$1),ROW('No conciliado'!$H$3:$M$500)-ROW('No conciliado'!$H$3)+1),ROWS($B$29:G35)),COLUMNS($B$29:G35)),"")</f>
        <v/>
      </c>
      <c r="E35" s="27"/>
      <c r="F35" s="12" t="str">
        <f t="array" ref="F35">IFERROR(INDEX('No conciliado'!$V$3:$AA$500,SMALL(IF(('No conciliado'!$W$3:$W$500&gt;=$C$5)*('No conciliado'!$W$3:$W$500&lt;$D$5)*('No conciliado'!$Z$3:$Z$500=$C$1),ROW('No conciliado'!$V$3:$AA$500)-ROW('No conciliado'!$V$3)+1),ROWS($F$29:F35)),COLUMNS($F$29:F35)),"")</f>
        <v/>
      </c>
      <c r="G35" s="11" t="str">
        <f t="array" ref="G35">IFERROR(INDEX('No conciliado'!$V$3:$AA$500,SMALL(IF(('No conciliado'!$W$3:$W$500&gt;=$C$5)*('No conciliado'!$W$3:$W$500&lt;$D$5)*('No conciliado'!$Z$3:$Z$500=$C$1),ROW('No conciliado'!$V$3:$AA$500)-ROW('No conciliado'!$V$3)+1),ROWS($F$29:I35)),COLUMNS($F$29:I35)),"")</f>
        <v/>
      </c>
      <c r="H35" s="10" t="str">
        <f t="array" ref="H35">IFERROR(INDEX('No conciliado'!$V$3:$AA$500,SMALL(IF(('No conciliado'!$W$3:$W$500&gt;=$C$5)*('No conciliado'!$W$3:$W$500&lt;$D$5)*('No conciliado'!$Z$3:$Z$500=$C$1),ROW('No conciliado'!$V$3:$AA$500)-ROW('No conciliado'!$V$3)+1),ROWS($F$29:K35)),COLUMNS($F$29:K35)),"")</f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0" t="str">
        <f t="array" ref="B36">IFERROR(INDEX('No conciliado'!$H$3:$M$500,SMALL(IF(('No conciliado'!$I$3:$I$500&gt;=$C$5)*('No conciliado'!$I$3:$I$500&lt;$D$5)*('No conciliado'!$L$3:$L$500=$C$1),ROW('No conciliado'!$H$3:$M$500)-ROW('No conciliado'!$H$3)+1),ROWS($B$29:B36)),COLUMNS($B$29:B36)),"")</f>
        <v/>
      </c>
      <c r="C36" s="11" t="str">
        <f t="array" ref="C36">IFERROR(INDEX('No conciliado'!$H$3:$M$500,SMALL(IF(('No conciliado'!$I$3:$I$500&gt;=$C$5)*('No conciliado'!$I$3:$I$500&lt;$D$5)*('No conciliado'!$L$3:$L$500=$C$1),ROW('No conciliado'!$H$3:$M$500)-ROW('No conciliado'!$H$3)+1),ROWS($B$29:E36)),COLUMNS($B$29:E36)),"")</f>
        <v/>
      </c>
      <c r="D36" s="28" t="str">
        <f t="array" ref="D36">IFERROR(INDEX('No conciliado'!$H$3:$M$500,SMALL(IF(('No conciliado'!$I$3:$I$500&gt;=$C$5)*('No conciliado'!$I$3:$I$500&lt;$D$5)*('No conciliado'!$L$3:$L$500=$C$1),ROW('No conciliado'!$H$3:$M$500)-ROW('No conciliado'!$H$3)+1),ROWS($B$29:G36)),COLUMNS($B$29:G36)),"")</f>
        <v/>
      </c>
      <c r="E36" s="27"/>
      <c r="F36" s="12" t="str">
        <f t="array" ref="F36">IFERROR(INDEX('No conciliado'!$V$3:$AA$500,SMALL(IF(('No conciliado'!$W$3:$W$500&gt;=$C$5)*('No conciliado'!$W$3:$W$500&lt;$D$5)*('No conciliado'!$Z$3:$Z$500=$C$1),ROW('No conciliado'!$V$3:$AA$500)-ROW('No conciliado'!$V$3)+1),ROWS($F$29:F36)),COLUMNS($F$29:F36)),"")</f>
        <v/>
      </c>
      <c r="G36" s="11" t="str">
        <f t="array" ref="G36">IFERROR(INDEX('No conciliado'!$V$3:$AA$500,SMALL(IF(('No conciliado'!$W$3:$W$500&gt;=$C$5)*('No conciliado'!$W$3:$W$500&lt;$D$5)*('No conciliado'!$Z$3:$Z$500=$C$1),ROW('No conciliado'!$V$3:$AA$500)-ROW('No conciliado'!$V$3)+1),ROWS($F$29:I36)),COLUMNS($F$29:I36)),"")</f>
        <v/>
      </c>
      <c r="H36" s="10" t="str">
        <f t="array" ref="H36">IFERROR(INDEX('No conciliado'!$V$3:$AA$500,SMALL(IF(('No conciliado'!$W$3:$W$500&gt;=$C$5)*('No conciliado'!$W$3:$W$500&lt;$D$5)*('No conciliado'!$Z$3:$Z$500=$C$1),ROW('No conciliado'!$V$3:$AA$500)-ROW('No conciliado'!$V$3)+1),ROWS($F$29:K36)),COLUMNS($F$29:K36)),"")</f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5"/>
      <c r="D37" s="1"/>
      <c r="E37" s="15"/>
      <c r="F37" s="1"/>
      <c r="G37" s="5"/>
      <c r="H37" s="16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5"/>
      <c r="D38" s="1"/>
      <c r="E38" s="15"/>
      <c r="F38" s="1"/>
      <c r="G38" s="5"/>
      <c r="H38" s="16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5"/>
      <c r="D39" s="1"/>
      <c r="E39" s="15"/>
      <c r="F39" s="1"/>
      <c r="G39" s="5"/>
      <c r="H39" s="16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5"/>
      <c r="D40" s="1"/>
      <c r="E40" s="15"/>
      <c r="F40" s="1"/>
      <c r="G40" s="5"/>
      <c r="H40" s="16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7"/>
      <c r="C41" s="7"/>
      <c r="D41" s="17"/>
      <c r="E41" s="18"/>
      <c r="F41" s="17"/>
      <c r="G41" s="7"/>
      <c r="H41" s="19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5"/>
      <c r="D42" s="1"/>
      <c r="E42" s="15"/>
      <c r="F42" s="1"/>
      <c r="G42" s="5"/>
      <c r="H42" s="16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5"/>
      <c r="D43" s="16">
        <f>+SUM(D45:D52)</f>
        <v>0</v>
      </c>
      <c r="E43" s="15"/>
      <c r="F43" s="1"/>
      <c r="G43" s="5"/>
      <c r="H43" s="16">
        <f>+SUM($H$45:$H$52)</f>
        <v>0</v>
      </c>
      <c r="I43" s="1"/>
      <c r="J43" s="21">
        <f>+D43-H43</f>
        <v>0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22" t="s">
        <v>4</v>
      </c>
      <c r="C44" s="23" t="s">
        <v>5</v>
      </c>
      <c r="D44" s="24" t="s">
        <v>6</v>
      </c>
      <c r="E44" s="25"/>
      <c r="F44" s="22" t="s">
        <v>4</v>
      </c>
      <c r="G44" s="23" t="s">
        <v>5</v>
      </c>
      <c r="H44" s="26" t="s">
        <v>6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0"/>
      <c r="C45" s="11"/>
      <c r="D45" s="28"/>
      <c r="E45" s="27"/>
      <c r="F45" s="12"/>
      <c r="G45" s="11"/>
      <c r="H45" s="10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0"/>
      <c r="C46" s="11"/>
      <c r="D46" s="28"/>
      <c r="E46" s="27"/>
      <c r="F46" s="12"/>
      <c r="G46" s="11"/>
      <c r="H46" s="10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0"/>
      <c r="C47" s="11"/>
      <c r="D47" s="28"/>
      <c r="E47" s="27"/>
      <c r="F47" s="12"/>
      <c r="G47" s="11"/>
      <c r="H47" s="10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0"/>
      <c r="C48" s="11"/>
      <c r="D48" s="28"/>
      <c r="E48" s="27"/>
      <c r="F48" s="12"/>
      <c r="G48" s="11"/>
      <c r="H48" s="10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0"/>
      <c r="C49" s="11"/>
      <c r="D49" s="28"/>
      <c r="E49" s="27"/>
      <c r="F49" s="12"/>
      <c r="G49" s="11"/>
      <c r="H49" s="10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0"/>
      <c r="C50" s="11"/>
      <c r="D50" s="28"/>
      <c r="E50" s="27"/>
      <c r="F50" s="12"/>
      <c r="G50" s="11"/>
      <c r="H50" s="10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0"/>
      <c r="C51" s="11"/>
      <c r="D51" s="28"/>
      <c r="E51" s="27"/>
      <c r="F51" s="12"/>
      <c r="G51" s="11"/>
      <c r="H51" s="10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0"/>
      <c r="C52" s="11"/>
      <c r="D52" s="28"/>
      <c r="E52" s="27"/>
      <c r="F52" s="12"/>
      <c r="G52" s="11"/>
      <c r="H52" s="10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5"/>
      <c r="D54" s="1"/>
      <c r="E54" s="15"/>
      <c r="F54" s="1"/>
      <c r="G54" s="5"/>
      <c r="H54" s="16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5"/>
      <c r="D55" s="1"/>
      <c r="E55" s="15"/>
      <c r="F55" s="1"/>
      <c r="G55" s="5"/>
      <c r="H55" s="16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5"/>
      <c r="D56" s="1"/>
      <c r="E56" s="15"/>
      <c r="F56" s="1"/>
      <c r="G56" s="5"/>
      <c r="H56" s="16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7"/>
      <c r="C57" s="7"/>
      <c r="D57" s="17"/>
      <c r="E57" s="18"/>
      <c r="F57" s="17"/>
      <c r="G57" s="7"/>
      <c r="H57" s="19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5"/>
      <c r="D58" s="1"/>
      <c r="E58" s="15"/>
      <c r="F58" s="1"/>
      <c r="G58" s="5"/>
      <c r="H58" s="16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5"/>
      <c r="D59" s="16">
        <f>+SUM(D61:D68)</f>
        <v>0</v>
      </c>
      <c r="E59" s="15"/>
      <c r="F59" s="1"/>
      <c r="G59" s="5"/>
      <c r="H59" s="16">
        <f>+SUM($H$61:$H$68)</f>
        <v>0</v>
      </c>
      <c r="I59" s="1"/>
      <c r="J59" s="21">
        <f>+H59+D59</f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22" t="s">
        <v>4</v>
      </c>
      <c r="C60" s="23" t="s">
        <v>5</v>
      </c>
      <c r="D60" s="24" t="s">
        <v>6</v>
      </c>
      <c r="E60" s="25"/>
      <c r="F60" s="22" t="s">
        <v>4</v>
      </c>
      <c r="G60" s="23" t="s">
        <v>5</v>
      </c>
      <c r="H60" s="26" t="s">
        <v>6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2" t="str">
        <f t="array" ref="B61">IFERROR(INDEX('No conciliado'!$AL$3:$AL$500,SMALL(IF(('No conciliado'!$AM$3:$AM$500&gt;=$C$5)*('No conciliado'!$AM$3:$AM$500&lt;$D$5),ROW('No conciliado'!$AL$3:$AS$500)-ROW('No conciliado'!$AL$3)+1),ROWS($B$61:B61)),COLUMNS($B$61:B61)),"")</f>
        <v/>
      </c>
      <c r="C61" s="11" t="str">
        <f t="array" ref="C61">IFERROR(INDEX('No conciliado'!$AL$3:$AS$500,SMALL(IF(('No conciliado'!$AM$3:$AM$500&gt;=$C$5)*('No conciliado'!$AM$3:$AM$500&lt;$D$5),ROW('No conciliado'!$AL$3:$AS$500)-ROW('No conciliado'!$AL$3)+1),ROWS($B$61:E61)),COLUMNS($B$61:E61)),"")</f>
        <v/>
      </c>
      <c r="D61" s="10" t="str">
        <f t="array" ref="D61">IFERROR(INDEX('No conciliado'!$AL$3:$AS$500,SMALL(IF(('No conciliado'!$AM$3:$AM$500&gt;=$C$5)*('No conciliado'!$AM$3:$AM$500&lt;$D$5),ROW('No conciliado'!$AL$3:$AS$500)-ROW('No conciliado'!$AL$3)+1),ROWS($B$61:G61)),COLUMNS($B$61:G61)),"")</f>
        <v/>
      </c>
      <c r="E61" s="27"/>
      <c r="F61" s="10"/>
      <c r="G61" s="11"/>
      <c r="H61" s="10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2" t="str">
        <f t="array" ref="B62">IFERROR(INDEX('No conciliado'!$AC$3:$AK$500,SMALL(IF(('No conciliado'!$AD$3:$AD$500&gt;=$C$5)*('No conciliado'!$AD$3:$AD$500&lt;$D$5),ROW('No conciliado'!$AC$3:$AK$500)-ROW('No conciliado'!$AC$3)+1),ROWS($B$61:B62)),COLUMNS($B$61:B62)),"")</f>
        <v/>
      </c>
      <c r="C62" s="11" t="str">
        <f t="array" ref="C62">IFERROR(INDEX('No conciliado'!$AL$3:$AS$500,SMALL(IF(('No conciliado'!$AM$3:$AM$500&gt;=$C$5)*('No conciliado'!$AM$3:$AM$500&lt;$D$5),ROW('No conciliado'!$AL$3:$AS$500)-ROW('No conciliado'!$AL$3)+1),ROWS($B$61:E62)),COLUMNS($B$61:E62)),"")</f>
        <v/>
      </c>
      <c r="D62" s="10" t="str">
        <f t="array" ref="D62">IFERROR(INDEX('No conciliado'!$AL$3:$AS$500,SMALL(IF(('No conciliado'!$AM$3:$AM$500&gt;=$C$5)*('No conciliado'!$AM$3:$AM$500&lt;$D$5),ROW('No conciliado'!$AL$3:$AS$500)-ROW('No conciliado'!$AL$3)+1),ROWS($B$61:G62)),COLUMNS($B$61:G62)),"")</f>
        <v/>
      </c>
      <c r="E62" s="27"/>
      <c r="F62" s="10"/>
      <c r="G62" s="11"/>
      <c r="H62" s="10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2" t="str">
        <f t="array" ref="B63">IFERROR(INDEX('No conciliado'!$AC$3:$AK$500,SMALL(IF(('No conciliado'!$AD$3:$AD$500&gt;=$C$5)*('No conciliado'!$AD$3:$AD$500&lt;$D$5),ROW('No conciliado'!$AC$3:$AK$500)-ROW('No conciliado'!$AC$3)+1),ROWS($B$61:B63)),COLUMNS($B$61:B63)),"")</f>
        <v/>
      </c>
      <c r="C63" s="11" t="str">
        <f t="array" ref="C63">IFERROR(INDEX('No conciliado'!$AL$3:$AS$500,SMALL(IF(('No conciliado'!$AM$3:$AM$500&gt;=$C$5)*('No conciliado'!$AM$3:$AM$500&lt;$D$5),ROW('No conciliado'!$AL$3:$AS$500)-ROW('No conciliado'!$AL$3)+1),ROWS($B$61:E63)),COLUMNS($B$61:E63)),"")</f>
        <v/>
      </c>
      <c r="D63" s="10" t="str">
        <f t="array" ref="D63">IFERROR(INDEX('No conciliado'!$AL$3:$AS$500,SMALL(IF(('No conciliado'!$AM$3:$AM$500&gt;=$C$5)*('No conciliado'!$AM$3:$AM$500&lt;$D$5),ROW('No conciliado'!$AL$3:$AS$500)-ROW('No conciliado'!$AL$3)+1),ROWS($B$61:G63)),COLUMNS($B$61:G63)),"")</f>
        <v/>
      </c>
      <c r="E63" s="27"/>
      <c r="F63" s="10"/>
      <c r="G63" s="11"/>
      <c r="H63" s="10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2" t="str">
        <f t="array" ref="B64">IFERROR(INDEX('No conciliado'!$AC$3:$AK$500,SMALL(IF(('No conciliado'!$AD$3:$AD$500&gt;=$C$5)*('No conciliado'!$AD$3:$AD$500&lt;$D$5),ROW('No conciliado'!$AC$3:$AK$500)-ROW('No conciliado'!$AC$3)+1),ROWS($B$61:B64)),COLUMNS($B$61:B64)),"")</f>
        <v/>
      </c>
      <c r="C64" s="11" t="str">
        <f t="array" ref="C64">IFERROR(INDEX('No conciliado'!$AL$3:$AS$500,SMALL(IF(('No conciliado'!$AM$3:$AM$500&gt;=$C$5)*('No conciliado'!$AM$3:$AM$500&lt;$D$5),ROW('No conciliado'!$AL$3:$AS$500)-ROW('No conciliado'!$AL$3)+1),ROWS($B$61:E64)),COLUMNS($B$61:E64)),"")</f>
        <v/>
      </c>
      <c r="D64" s="10" t="str">
        <f t="array" ref="D64">IFERROR(INDEX('No conciliado'!$AL$3:$AS$500,SMALL(IF(('No conciliado'!$AM$3:$AM$500&gt;=$C$5)*('No conciliado'!$AM$3:$AM$500&lt;$D$5),ROW('No conciliado'!$AL$3:$AS$500)-ROW('No conciliado'!$AL$3)+1),ROWS($B$61:G64)),COLUMNS($B$61:G64)),"")</f>
        <v/>
      </c>
      <c r="E64" s="27"/>
      <c r="F64" s="10"/>
      <c r="G64" s="11"/>
      <c r="H64" s="10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2" t="str">
        <f t="array" ref="B65">IFERROR(INDEX('No conciliado'!$AC$3:$AK$500,SMALL(IF(('No conciliado'!$AD$3:$AD$500&gt;=$C$5)*('No conciliado'!$AD$3:$AD$500&lt;$D$5),ROW('No conciliado'!$AC$3:$AK$500)-ROW('No conciliado'!$AC$3)+1),ROWS($B$61:B65)),COLUMNS($B$61:B65)),"")</f>
        <v/>
      </c>
      <c r="C65" s="11" t="str">
        <f t="array" ref="C65">IFERROR(INDEX('No conciliado'!$AL$3:$AS$500,SMALL(IF(('No conciliado'!$AM$3:$AM$500&gt;=$C$5)*('No conciliado'!$AM$3:$AM$500&lt;$D$5),ROW('No conciliado'!$AL$3:$AS$500)-ROW('No conciliado'!$AL$3)+1),ROWS($B$61:E65)),COLUMNS($B$61:E65)),"")</f>
        <v/>
      </c>
      <c r="D65" s="10" t="str">
        <f t="array" ref="D65">IFERROR(INDEX('No conciliado'!$AL$3:$AS$500,SMALL(IF(('No conciliado'!$AM$3:$AM$500&gt;=$C$5)*('No conciliado'!$AM$3:$AM$500&lt;$D$5),ROW('No conciliado'!$AL$3:$AS$500)-ROW('No conciliado'!$AL$3)+1),ROWS($B$61:G65)),COLUMNS($B$61:G65)),"")</f>
        <v/>
      </c>
      <c r="E65" s="27"/>
      <c r="F65" s="10"/>
      <c r="G65" s="11"/>
      <c r="H65" s="10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2" t="str">
        <f t="array" ref="B66">IFERROR(INDEX('No conciliado'!$AC$3:$AK$500,SMALL(IF(('No conciliado'!$AD$3:$AD$500&gt;=$C$5)*('No conciliado'!$AD$3:$AD$500&lt;$D$5),ROW('No conciliado'!$AC$3:$AK$500)-ROW('No conciliado'!$AC$3)+1),ROWS($B$61:B66)),COLUMNS($B$61:B66)),"")</f>
        <v/>
      </c>
      <c r="C66" s="11" t="str">
        <f t="array" ref="C66">IFERROR(INDEX('No conciliado'!$AL$3:$AS$500,SMALL(IF(('No conciliado'!$AM$3:$AM$500&gt;=$C$5)*('No conciliado'!$AM$3:$AM$500&lt;$D$5),ROW('No conciliado'!$AL$3:$AS$500)-ROW('No conciliado'!$AL$3)+1),ROWS($B$61:E66)),COLUMNS($B$61:E66)),"")</f>
        <v/>
      </c>
      <c r="D66" s="10" t="str">
        <f t="array" ref="D66">IFERROR(INDEX('No conciliado'!$AL$3:$AS$500,SMALL(IF(('No conciliado'!$AM$3:$AM$500&gt;=$C$5)*('No conciliado'!$AM$3:$AM$500&lt;$D$5),ROW('No conciliado'!$AL$3:$AS$500)-ROW('No conciliado'!$AL$3)+1),ROWS($B$61:G66)),COLUMNS($B$61:G66)),"")</f>
        <v/>
      </c>
      <c r="E66" s="27"/>
      <c r="F66" s="10"/>
      <c r="G66" s="11"/>
      <c r="H66" s="10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2" t="str">
        <f t="array" ref="B67">IFERROR(INDEX('No conciliado'!$AC$3:$AK$500,SMALL(IF(('No conciliado'!$AD$3:$AD$500&gt;=$C$5)*('No conciliado'!$AD$3:$AD$500&lt;$D$5),ROW('No conciliado'!$AC$3:$AK$500)-ROW('No conciliado'!$AC$3)+1),ROWS($B$61:B67)),COLUMNS($B$61:B67)),"")</f>
        <v/>
      </c>
      <c r="C67" s="11" t="str">
        <f t="array" ref="C67">IFERROR(INDEX('No conciliado'!$AL$3:$AS$500,SMALL(IF(('No conciliado'!$AM$3:$AM$500&gt;=$C$5)*('No conciliado'!$AM$3:$AM$500&lt;$D$5),ROW('No conciliado'!$AL$3:$AS$500)-ROW('No conciliado'!$AL$3)+1),ROWS($B$61:E67)),COLUMNS($B$61:E67)),"")</f>
        <v/>
      </c>
      <c r="D67" s="10" t="str">
        <f t="array" ref="D67">IFERROR(INDEX('No conciliado'!$AL$3:$AS$500,SMALL(IF(('No conciliado'!$AM$3:$AM$500&gt;=$C$5)*('No conciliado'!$AM$3:$AM$500&lt;$D$5),ROW('No conciliado'!$AL$3:$AS$500)-ROW('No conciliado'!$AL$3)+1),ROWS($B$61:G67)),COLUMNS($B$61:G67)),"")</f>
        <v/>
      </c>
      <c r="E67" s="27"/>
      <c r="F67" s="10"/>
      <c r="G67" s="11"/>
      <c r="H67" s="10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2" t="str">
        <f t="array" ref="B68">IFERROR(INDEX('No conciliado'!$AC$3:$AK$500,SMALL(IF(('No conciliado'!$AD$3:$AD$500&gt;=$C$5)*('No conciliado'!$AD$3:$AD$500&lt;$D$5),ROW('No conciliado'!$AC$3:$AK$500)-ROW('No conciliado'!$AC$3)+1),ROWS($B$61:B68)),COLUMNS($B$61:B68)),"")</f>
        <v/>
      </c>
      <c r="C68" s="11" t="str">
        <f t="array" ref="C68">IFERROR(INDEX('No conciliado'!$AL$3:$AS$500,SMALL(IF(('No conciliado'!$AM$3:$AM$500&gt;=$C$5)*('No conciliado'!$AM$3:$AM$500&lt;$D$5),ROW('No conciliado'!$AL$3:$AS$500)-ROW('No conciliado'!$AL$3)+1),ROWS($B$61:E68)),COLUMNS($B$61:E68)),"")</f>
        <v/>
      </c>
      <c r="D68" s="10" t="str">
        <f t="array" ref="D68">IFERROR(INDEX('No conciliado'!$AL$3:$AS$500,SMALL(IF(('No conciliado'!$AM$3:$AM$500&gt;=$C$5)*('No conciliado'!$AM$3:$AM$500&lt;$D$5),ROW('No conciliado'!$AL$3:$AS$500)-ROW('No conciliado'!$AL$3)+1),ROWS($B$61:G68)),COLUMNS($B$61:G68)),"")</f>
        <v/>
      </c>
      <c r="E68" s="27"/>
      <c r="F68" s="10"/>
      <c r="G68" s="11"/>
      <c r="H68" s="10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5"/>
      <c r="D69" s="1"/>
      <c r="E69" s="15"/>
      <c r="F69" s="1"/>
      <c r="G69" s="5"/>
      <c r="H69" s="16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5"/>
      <c r="D70" s="1"/>
      <c r="E70" s="15"/>
      <c r="F70" s="1"/>
      <c r="G70" s="5"/>
      <c r="H70" s="16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5"/>
      <c r="D71" s="1"/>
      <c r="E71" s="15"/>
      <c r="F71" s="1"/>
      <c r="G71" s="5"/>
      <c r="H71" s="16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5"/>
      <c r="D72" s="1"/>
      <c r="E72" s="15"/>
      <c r="F72" s="1"/>
      <c r="G72" s="5"/>
      <c r="H72" s="16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5"/>
      <c r="D73" s="1"/>
      <c r="E73" s="15"/>
      <c r="F73" s="1"/>
      <c r="G73" s="5"/>
      <c r="H73" s="16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5"/>
      <c r="D74" s="1"/>
      <c r="E74" s="15"/>
      <c r="F74" s="1"/>
      <c r="G74" s="5"/>
      <c r="H74" s="16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5"/>
      <c r="D75" s="1"/>
      <c r="E75" s="15"/>
      <c r="F75" s="1"/>
      <c r="G75" s="5"/>
      <c r="H75" s="16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5"/>
      <c r="D76" s="1"/>
      <c r="E76" s="15"/>
      <c r="F76" s="1"/>
      <c r="G76" s="5"/>
      <c r="H76" s="16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5"/>
      <c r="D77" s="1"/>
      <c r="E77" s="15"/>
      <c r="F77" s="1"/>
      <c r="G77" s="5"/>
      <c r="H77" s="16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5"/>
      <c r="D78" s="1"/>
      <c r="E78" s="15"/>
      <c r="F78" s="1"/>
      <c r="G78" s="5"/>
      <c r="H78" s="16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5"/>
      <c r="D79" s="1"/>
      <c r="E79" s="15"/>
      <c r="F79" s="1"/>
      <c r="G79" s="5"/>
      <c r="H79" s="16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5"/>
      <c r="D80" s="1"/>
      <c r="E80" s="15"/>
      <c r="F80" s="1"/>
      <c r="G80" s="5"/>
      <c r="H80" s="16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5"/>
      <c r="D81" s="1"/>
      <c r="E81" s="15"/>
      <c r="F81" s="1"/>
      <c r="G81" s="5"/>
      <c r="H81" s="16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5"/>
      <c r="D82" s="1"/>
      <c r="E82" s="15"/>
      <c r="F82" s="1"/>
      <c r="G82" s="5"/>
      <c r="H82" s="16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5"/>
      <c r="D83" s="1"/>
      <c r="E83" s="15"/>
      <c r="F83" s="1"/>
      <c r="G83" s="5"/>
      <c r="H83" s="16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5"/>
      <c r="D84" s="1"/>
      <c r="E84" s="15"/>
      <c r="F84" s="1"/>
      <c r="G84" s="5"/>
      <c r="H84" s="16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5"/>
      <c r="D85" s="1"/>
      <c r="E85" s="15"/>
      <c r="F85" s="1"/>
      <c r="G85" s="5"/>
      <c r="H85" s="16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5"/>
      <c r="D86" s="1"/>
      <c r="E86" s="15"/>
      <c r="F86" s="1"/>
      <c r="G86" s="5"/>
      <c r="H86" s="16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5"/>
      <c r="D87" s="1"/>
      <c r="E87" s="15"/>
      <c r="F87" s="1"/>
      <c r="G87" s="5"/>
      <c r="H87" s="16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5"/>
      <c r="D88" s="1"/>
      <c r="E88" s="15"/>
      <c r="F88" s="1"/>
      <c r="G88" s="5"/>
      <c r="H88" s="16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5"/>
      <c r="D89" s="1"/>
      <c r="E89" s="15"/>
      <c r="F89" s="1"/>
      <c r="G89" s="5"/>
      <c r="H89" s="16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5"/>
      <c r="D90" s="1"/>
      <c r="E90" s="15"/>
      <c r="F90" s="1"/>
      <c r="G90" s="5"/>
      <c r="H90" s="16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5"/>
      <c r="D91" s="1"/>
      <c r="E91" s="15"/>
      <c r="F91" s="1"/>
      <c r="G91" s="5"/>
      <c r="H91" s="16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5"/>
      <c r="D92" s="1"/>
      <c r="E92" s="15"/>
      <c r="F92" s="1"/>
      <c r="G92" s="5"/>
      <c r="H92" s="16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5"/>
      <c r="D93" s="1"/>
      <c r="E93" s="15"/>
      <c r="F93" s="1"/>
      <c r="G93" s="5"/>
      <c r="H93" s="16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5"/>
      <c r="D94" s="1"/>
      <c r="E94" s="15"/>
      <c r="F94" s="1"/>
      <c r="G94" s="5"/>
      <c r="H94" s="16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5"/>
      <c r="D95" s="1"/>
      <c r="E95" s="15"/>
      <c r="F95" s="1"/>
      <c r="G95" s="5"/>
      <c r="H95" s="16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5"/>
      <c r="D96" s="1"/>
      <c r="E96" s="15"/>
      <c r="F96" s="1"/>
      <c r="G96" s="5"/>
      <c r="H96" s="16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5"/>
      <c r="D97" s="1"/>
      <c r="E97" s="15"/>
      <c r="F97" s="1"/>
      <c r="G97" s="5"/>
      <c r="H97" s="16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5"/>
      <c r="D98" s="1"/>
      <c r="E98" s="15"/>
      <c r="F98" s="1"/>
      <c r="G98" s="5"/>
      <c r="H98" s="16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5"/>
      <c r="D99" s="1"/>
      <c r="E99" s="15"/>
      <c r="F99" s="1"/>
      <c r="G99" s="5"/>
      <c r="H99" s="16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5"/>
      <c r="D100" s="1"/>
      <c r="E100" s="15"/>
      <c r="F100" s="1"/>
      <c r="G100" s="5"/>
      <c r="H100" s="16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5"/>
      <c r="D101" s="1"/>
      <c r="E101" s="15"/>
      <c r="F101" s="1"/>
      <c r="G101" s="5"/>
      <c r="H101" s="16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5"/>
      <c r="D102" s="1"/>
      <c r="E102" s="15"/>
      <c r="F102" s="1"/>
      <c r="G102" s="5"/>
      <c r="H102" s="16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5"/>
      <c r="D103" s="1"/>
      <c r="E103" s="15"/>
      <c r="F103" s="1"/>
      <c r="G103" s="5"/>
      <c r="H103" s="16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5"/>
      <c r="D104" s="1"/>
      <c r="E104" s="15"/>
      <c r="F104" s="1"/>
      <c r="G104" s="5"/>
      <c r="H104" s="16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5"/>
      <c r="D105" s="1"/>
      <c r="E105" s="15"/>
      <c r="F105" s="1"/>
      <c r="G105" s="5"/>
      <c r="H105" s="16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5"/>
      <c r="D106" s="1"/>
      <c r="E106" s="15"/>
      <c r="F106" s="1"/>
      <c r="G106" s="5"/>
      <c r="H106" s="16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5"/>
      <c r="D107" s="1"/>
      <c r="E107" s="15"/>
      <c r="F107" s="1"/>
      <c r="G107" s="5"/>
      <c r="H107" s="16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5"/>
      <c r="D108" s="1"/>
      <c r="E108" s="15"/>
      <c r="F108" s="1"/>
      <c r="G108" s="5"/>
      <c r="H108" s="16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5"/>
      <c r="D109" s="1"/>
      <c r="E109" s="15"/>
      <c r="F109" s="1"/>
      <c r="G109" s="5"/>
      <c r="H109" s="16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5"/>
      <c r="D110" s="1"/>
      <c r="E110" s="15"/>
      <c r="F110" s="1"/>
      <c r="G110" s="5"/>
      <c r="H110" s="16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5"/>
      <c r="D111" s="1"/>
      <c r="E111" s="15"/>
      <c r="F111" s="1"/>
      <c r="G111" s="5"/>
      <c r="H111" s="16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5"/>
      <c r="D112" s="1"/>
      <c r="E112" s="15"/>
      <c r="F112" s="1"/>
      <c r="G112" s="5"/>
      <c r="H112" s="16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5"/>
      <c r="D113" s="1"/>
      <c r="E113" s="15"/>
      <c r="F113" s="1"/>
      <c r="G113" s="5"/>
      <c r="H113" s="16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5"/>
      <c r="D114" s="1"/>
      <c r="E114" s="15"/>
      <c r="F114" s="1"/>
      <c r="G114" s="5"/>
      <c r="H114" s="16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5"/>
      <c r="D115" s="1"/>
      <c r="E115" s="15"/>
      <c r="F115" s="1"/>
      <c r="G115" s="5"/>
      <c r="H115" s="16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5"/>
      <c r="D116" s="1"/>
      <c r="E116" s="15"/>
      <c r="F116" s="1"/>
      <c r="G116" s="5"/>
      <c r="H116" s="16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5"/>
      <c r="D117" s="1"/>
      <c r="E117" s="15"/>
      <c r="F117" s="1"/>
      <c r="G117" s="5"/>
      <c r="H117" s="16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5"/>
      <c r="D118" s="1"/>
      <c r="E118" s="15"/>
      <c r="F118" s="1"/>
      <c r="G118" s="5"/>
      <c r="H118" s="16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5"/>
      <c r="D119" s="1"/>
      <c r="E119" s="15"/>
      <c r="F119" s="1"/>
      <c r="G119" s="5"/>
      <c r="H119" s="16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5"/>
      <c r="D120" s="1"/>
      <c r="E120" s="15"/>
      <c r="F120" s="1"/>
      <c r="G120" s="5"/>
      <c r="H120" s="16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5"/>
      <c r="D121" s="1"/>
      <c r="E121" s="15"/>
      <c r="F121" s="1"/>
      <c r="G121" s="5"/>
      <c r="H121" s="16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5"/>
      <c r="D122" s="1"/>
      <c r="E122" s="15"/>
      <c r="F122" s="1"/>
      <c r="G122" s="5"/>
      <c r="H122" s="16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5"/>
      <c r="D123" s="1"/>
      <c r="E123" s="15"/>
      <c r="F123" s="1"/>
      <c r="G123" s="5"/>
      <c r="H123" s="16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5"/>
      <c r="D124" s="1"/>
      <c r="E124" s="15"/>
      <c r="F124" s="1"/>
      <c r="G124" s="5"/>
      <c r="H124" s="16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5"/>
      <c r="D125" s="1"/>
      <c r="E125" s="15"/>
      <c r="F125" s="1"/>
      <c r="G125" s="5"/>
      <c r="H125" s="16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5"/>
      <c r="D126" s="1"/>
      <c r="E126" s="15"/>
      <c r="F126" s="1"/>
      <c r="G126" s="5"/>
      <c r="H126" s="16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5"/>
      <c r="D127" s="1"/>
      <c r="E127" s="15"/>
      <c r="F127" s="1"/>
      <c r="G127" s="5"/>
      <c r="H127" s="16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5"/>
      <c r="D128" s="1"/>
      <c r="E128" s="15"/>
      <c r="F128" s="1"/>
      <c r="G128" s="5"/>
      <c r="H128" s="16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5"/>
      <c r="D129" s="1"/>
      <c r="E129" s="15"/>
      <c r="F129" s="1"/>
      <c r="G129" s="5"/>
      <c r="H129" s="16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5"/>
      <c r="D130" s="1"/>
      <c r="E130" s="15"/>
      <c r="F130" s="1"/>
      <c r="G130" s="5"/>
      <c r="H130" s="16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5"/>
      <c r="D131" s="1"/>
      <c r="E131" s="15"/>
      <c r="F131" s="1"/>
      <c r="G131" s="5"/>
      <c r="H131" s="16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5"/>
      <c r="D132" s="1"/>
      <c r="E132" s="15"/>
      <c r="F132" s="1"/>
      <c r="G132" s="5"/>
      <c r="H132" s="16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5"/>
      <c r="D133" s="1"/>
      <c r="E133" s="15"/>
      <c r="F133" s="1"/>
      <c r="G133" s="5"/>
      <c r="H133" s="16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5"/>
      <c r="D134" s="1"/>
      <c r="E134" s="15"/>
      <c r="F134" s="1"/>
      <c r="G134" s="5"/>
      <c r="H134" s="16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5"/>
      <c r="D135" s="1"/>
      <c r="E135" s="15"/>
      <c r="F135" s="1"/>
      <c r="G135" s="5"/>
      <c r="H135" s="16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5"/>
      <c r="D136" s="1"/>
      <c r="E136" s="15"/>
      <c r="F136" s="1"/>
      <c r="G136" s="5"/>
      <c r="H136" s="16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5"/>
      <c r="D137" s="1"/>
      <c r="E137" s="15"/>
      <c r="F137" s="1"/>
      <c r="G137" s="5"/>
      <c r="H137" s="16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5"/>
      <c r="D138" s="1"/>
      <c r="E138" s="15"/>
      <c r="F138" s="1"/>
      <c r="G138" s="5"/>
      <c r="H138" s="16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5"/>
      <c r="D139" s="1"/>
      <c r="E139" s="15"/>
      <c r="F139" s="1"/>
      <c r="G139" s="5"/>
      <c r="H139" s="16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5"/>
      <c r="D140" s="1"/>
      <c r="E140" s="15"/>
      <c r="F140" s="1"/>
      <c r="G140" s="5"/>
      <c r="H140" s="16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5"/>
      <c r="D141" s="1"/>
      <c r="E141" s="15"/>
      <c r="F141" s="1"/>
      <c r="G141" s="5"/>
      <c r="H141" s="16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5"/>
      <c r="D142" s="1"/>
      <c r="E142" s="15"/>
      <c r="F142" s="1"/>
      <c r="G142" s="5"/>
      <c r="H142" s="16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5"/>
      <c r="D143" s="1"/>
      <c r="E143" s="15"/>
      <c r="F143" s="1"/>
      <c r="G143" s="5"/>
      <c r="H143" s="16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5"/>
      <c r="D144" s="1"/>
      <c r="E144" s="15"/>
      <c r="F144" s="1"/>
      <c r="G144" s="5"/>
      <c r="H144" s="16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5"/>
      <c r="D145" s="1"/>
      <c r="E145" s="15"/>
      <c r="F145" s="1"/>
      <c r="G145" s="5"/>
      <c r="H145" s="16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5"/>
      <c r="D146" s="1"/>
      <c r="E146" s="15"/>
      <c r="F146" s="1"/>
      <c r="G146" s="5"/>
      <c r="H146" s="16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5"/>
      <c r="D147" s="1"/>
      <c r="E147" s="15"/>
      <c r="F147" s="1"/>
      <c r="G147" s="5"/>
      <c r="H147" s="16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5"/>
      <c r="D148" s="1"/>
      <c r="E148" s="15"/>
      <c r="F148" s="1"/>
      <c r="G148" s="5"/>
      <c r="H148" s="16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5"/>
      <c r="D149" s="1"/>
      <c r="E149" s="15"/>
      <c r="F149" s="1"/>
      <c r="G149" s="5"/>
      <c r="H149" s="16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5"/>
      <c r="D150" s="1"/>
      <c r="E150" s="15"/>
      <c r="F150" s="1"/>
      <c r="G150" s="5"/>
      <c r="H150" s="16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5"/>
      <c r="D151" s="1"/>
      <c r="E151" s="15"/>
      <c r="F151" s="1"/>
      <c r="G151" s="5"/>
      <c r="H151" s="16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5"/>
      <c r="D152" s="1"/>
      <c r="E152" s="15"/>
      <c r="F152" s="1"/>
      <c r="G152" s="5"/>
      <c r="H152" s="16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5"/>
      <c r="D153" s="1"/>
      <c r="E153" s="15"/>
      <c r="F153" s="1"/>
      <c r="G153" s="5"/>
      <c r="H153" s="16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5"/>
      <c r="D154" s="1"/>
      <c r="E154" s="15"/>
      <c r="F154" s="1"/>
      <c r="G154" s="5"/>
      <c r="H154" s="16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5"/>
      <c r="D155" s="1"/>
      <c r="E155" s="15"/>
      <c r="F155" s="1"/>
      <c r="G155" s="5"/>
      <c r="H155" s="16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5"/>
      <c r="D156" s="1"/>
      <c r="E156" s="15"/>
      <c r="F156" s="1"/>
      <c r="G156" s="5"/>
      <c r="H156" s="16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5"/>
      <c r="D157" s="1"/>
      <c r="E157" s="15"/>
      <c r="F157" s="1"/>
      <c r="G157" s="5"/>
      <c r="H157" s="16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5"/>
      <c r="D158" s="1"/>
      <c r="E158" s="15"/>
      <c r="F158" s="1"/>
      <c r="G158" s="5"/>
      <c r="H158" s="16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5"/>
      <c r="D159" s="1"/>
      <c r="E159" s="15"/>
      <c r="F159" s="1"/>
      <c r="G159" s="5"/>
      <c r="H159" s="16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5"/>
      <c r="D160" s="1"/>
      <c r="E160" s="15"/>
      <c r="F160" s="1"/>
      <c r="G160" s="5"/>
      <c r="H160" s="16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5"/>
      <c r="D161" s="1"/>
      <c r="E161" s="15"/>
      <c r="F161" s="1"/>
      <c r="G161" s="5"/>
      <c r="H161" s="16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5"/>
      <c r="D162" s="1"/>
      <c r="E162" s="15"/>
      <c r="F162" s="1"/>
      <c r="G162" s="5"/>
      <c r="H162" s="16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5"/>
      <c r="D163" s="1"/>
      <c r="E163" s="15"/>
      <c r="F163" s="1"/>
      <c r="G163" s="5"/>
      <c r="H163" s="16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5"/>
      <c r="D164" s="1"/>
      <c r="E164" s="15"/>
      <c r="F164" s="1"/>
      <c r="G164" s="5"/>
      <c r="H164" s="16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5"/>
      <c r="D165" s="1"/>
      <c r="E165" s="15"/>
      <c r="F165" s="1"/>
      <c r="G165" s="5"/>
      <c r="H165" s="16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5"/>
      <c r="D166" s="1"/>
      <c r="E166" s="15"/>
      <c r="F166" s="1"/>
      <c r="G166" s="5"/>
      <c r="H166" s="16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5"/>
      <c r="D167" s="1"/>
      <c r="E167" s="15"/>
      <c r="F167" s="1"/>
      <c r="G167" s="5"/>
      <c r="H167" s="16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5"/>
      <c r="D168" s="1"/>
      <c r="E168" s="15"/>
      <c r="F168" s="1"/>
      <c r="G168" s="5"/>
      <c r="H168" s="16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5"/>
      <c r="D169" s="1"/>
      <c r="E169" s="15"/>
      <c r="F169" s="1"/>
      <c r="G169" s="5"/>
      <c r="H169" s="16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5"/>
      <c r="D170" s="1"/>
      <c r="E170" s="15"/>
      <c r="F170" s="1"/>
      <c r="G170" s="5"/>
      <c r="H170" s="16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5"/>
      <c r="D171" s="1"/>
      <c r="E171" s="15"/>
      <c r="F171" s="1"/>
      <c r="G171" s="5"/>
      <c r="H171" s="16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5"/>
      <c r="D172" s="1"/>
      <c r="E172" s="15"/>
      <c r="F172" s="1"/>
      <c r="G172" s="5"/>
      <c r="H172" s="16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5"/>
      <c r="D173" s="1"/>
      <c r="E173" s="15"/>
      <c r="F173" s="1"/>
      <c r="G173" s="5"/>
      <c r="H173" s="16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5"/>
      <c r="D174" s="1"/>
      <c r="E174" s="15"/>
      <c r="F174" s="1"/>
      <c r="G174" s="5"/>
      <c r="H174" s="16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5"/>
      <c r="D175" s="1"/>
      <c r="E175" s="15"/>
      <c r="F175" s="1"/>
      <c r="G175" s="5"/>
      <c r="H175" s="16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5"/>
      <c r="D176" s="1"/>
      <c r="E176" s="15"/>
      <c r="F176" s="1"/>
      <c r="G176" s="5"/>
      <c r="H176" s="16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5"/>
      <c r="D177" s="1"/>
      <c r="E177" s="15"/>
      <c r="F177" s="1"/>
      <c r="G177" s="5"/>
      <c r="H177" s="16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5"/>
      <c r="D178" s="1"/>
      <c r="E178" s="15"/>
      <c r="F178" s="1"/>
      <c r="G178" s="5"/>
      <c r="H178" s="16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5"/>
      <c r="D179" s="1"/>
      <c r="E179" s="15"/>
      <c r="F179" s="1"/>
      <c r="G179" s="5"/>
      <c r="H179" s="16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5"/>
      <c r="D180" s="1"/>
      <c r="E180" s="15"/>
      <c r="F180" s="1"/>
      <c r="G180" s="5"/>
      <c r="H180" s="16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5"/>
      <c r="D181" s="1"/>
      <c r="E181" s="15"/>
      <c r="F181" s="1"/>
      <c r="G181" s="5"/>
      <c r="H181" s="16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5"/>
      <c r="D182" s="1"/>
      <c r="E182" s="15"/>
      <c r="F182" s="1"/>
      <c r="G182" s="5"/>
      <c r="H182" s="16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5"/>
      <c r="D183" s="1"/>
      <c r="E183" s="15"/>
      <c r="F183" s="1"/>
      <c r="G183" s="5"/>
      <c r="H183" s="16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5"/>
      <c r="D184" s="1"/>
      <c r="E184" s="15"/>
      <c r="F184" s="1"/>
      <c r="G184" s="5"/>
      <c r="H184" s="16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5"/>
      <c r="D185" s="1"/>
      <c r="E185" s="15"/>
      <c r="F185" s="1"/>
      <c r="G185" s="5"/>
      <c r="H185" s="16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5"/>
      <c r="D186" s="1"/>
      <c r="E186" s="15"/>
      <c r="F186" s="1"/>
      <c r="G186" s="5"/>
      <c r="H186" s="16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5"/>
      <c r="D187" s="1"/>
      <c r="E187" s="15"/>
      <c r="F187" s="1"/>
      <c r="G187" s="5"/>
      <c r="H187" s="16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5"/>
      <c r="D188" s="1"/>
      <c r="E188" s="15"/>
      <c r="F188" s="1"/>
      <c r="G188" s="5"/>
      <c r="H188" s="16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5"/>
      <c r="D189" s="1"/>
      <c r="E189" s="15"/>
      <c r="F189" s="1"/>
      <c r="G189" s="5"/>
      <c r="H189" s="16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5"/>
      <c r="D190" s="1"/>
      <c r="E190" s="15"/>
      <c r="F190" s="1"/>
      <c r="G190" s="5"/>
      <c r="H190" s="16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5"/>
      <c r="D191" s="1"/>
      <c r="E191" s="15"/>
      <c r="F191" s="1"/>
      <c r="G191" s="5"/>
      <c r="H191" s="16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5"/>
      <c r="D192" s="1"/>
      <c r="E192" s="15"/>
      <c r="F192" s="1"/>
      <c r="G192" s="5"/>
      <c r="H192" s="16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5"/>
      <c r="D193" s="1"/>
      <c r="E193" s="15"/>
      <c r="F193" s="1"/>
      <c r="G193" s="5"/>
      <c r="H193" s="16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5"/>
      <c r="D194" s="1"/>
      <c r="E194" s="15"/>
      <c r="F194" s="1"/>
      <c r="G194" s="5"/>
      <c r="H194" s="16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5"/>
      <c r="D195" s="1"/>
      <c r="E195" s="15"/>
      <c r="F195" s="1"/>
      <c r="G195" s="5"/>
      <c r="H195" s="16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5"/>
      <c r="D196" s="1"/>
      <c r="E196" s="15"/>
      <c r="F196" s="1"/>
      <c r="G196" s="5"/>
      <c r="H196" s="16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5"/>
      <c r="D197" s="1"/>
      <c r="E197" s="15"/>
      <c r="F197" s="1"/>
      <c r="G197" s="5"/>
      <c r="H197" s="16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5"/>
      <c r="D198" s="1"/>
      <c r="E198" s="15"/>
      <c r="F198" s="1"/>
      <c r="G198" s="5"/>
      <c r="H198" s="16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5"/>
      <c r="D199" s="1"/>
      <c r="E199" s="15"/>
      <c r="F199" s="1"/>
      <c r="G199" s="5"/>
      <c r="H199" s="16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5"/>
      <c r="D200" s="1"/>
      <c r="E200" s="15"/>
      <c r="F200" s="1"/>
      <c r="G200" s="5"/>
      <c r="H200" s="16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5"/>
      <c r="D201" s="1"/>
      <c r="E201" s="15"/>
      <c r="F201" s="1"/>
      <c r="G201" s="5"/>
      <c r="H201" s="16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5"/>
      <c r="D202" s="1"/>
      <c r="E202" s="15"/>
      <c r="F202" s="1"/>
      <c r="G202" s="5"/>
      <c r="H202" s="16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5"/>
      <c r="D203" s="1"/>
      <c r="E203" s="15"/>
      <c r="F203" s="1"/>
      <c r="G203" s="5"/>
      <c r="H203" s="16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5"/>
      <c r="D204" s="1"/>
      <c r="E204" s="15"/>
      <c r="F204" s="1"/>
      <c r="G204" s="5"/>
      <c r="H204" s="16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5"/>
      <c r="D205" s="1"/>
      <c r="E205" s="15"/>
      <c r="F205" s="1"/>
      <c r="G205" s="5"/>
      <c r="H205" s="16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5"/>
      <c r="D206" s="1"/>
      <c r="E206" s="15"/>
      <c r="F206" s="1"/>
      <c r="G206" s="5"/>
      <c r="H206" s="16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5"/>
      <c r="D207" s="1"/>
      <c r="E207" s="15"/>
      <c r="F207" s="1"/>
      <c r="G207" s="5"/>
      <c r="H207" s="16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5"/>
      <c r="D208" s="1"/>
      <c r="E208" s="15"/>
      <c r="F208" s="1"/>
      <c r="G208" s="5"/>
      <c r="H208" s="16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5"/>
      <c r="D209" s="1"/>
      <c r="E209" s="15"/>
      <c r="F209" s="1"/>
      <c r="G209" s="5"/>
      <c r="H209" s="16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5"/>
      <c r="D210" s="1"/>
      <c r="E210" s="15"/>
      <c r="F210" s="1"/>
      <c r="G210" s="5"/>
      <c r="H210" s="16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5"/>
      <c r="D211" s="1"/>
      <c r="E211" s="15"/>
      <c r="F211" s="1"/>
      <c r="G211" s="5"/>
      <c r="H211" s="16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5"/>
      <c r="D212" s="1"/>
      <c r="E212" s="15"/>
      <c r="F212" s="1"/>
      <c r="G212" s="5"/>
      <c r="H212" s="16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5"/>
      <c r="D213" s="1"/>
      <c r="E213" s="15"/>
      <c r="F213" s="1"/>
      <c r="G213" s="5"/>
      <c r="H213" s="16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5"/>
      <c r="D214" s="1"/>
      <c r="E214" s="15"/>
      <c r="F214" s="1"/>
      <c r="G214" s="5"/>
      <c r="H214" s="16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5"/>
      <c r="D215" s="1"/>
      <c r="E215" s="15"/>
      <c r="F215" s="1"/>
      <c r="G215" s="5"/>
      <c r="H215" s="16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5"/>
      <c r="D216" s="1"/>
      <c r="E216" s="15"/>
      <c r="F216" s="1"/>
      <c r="G216" s="5"/>
      <c r="H216" s="16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5"/>
      <c r="D217" s="1"/>
      <c r="E217" s="15"/>
      <c r="F217" s="1"/>
      <c r="G217" s="5"/>
      <c r="H217" s="16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5"/>
      <c r="D218" s="1"/>
      <c r="E218" s="15"/>
      <c r="F218" s="1"/>
      <c r="G218" s="5"/>
      <c r="H218" s="16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5"/>
      <c r="D219" s="1"/>
      <c r="E219" s="15"/>
      <c r="F219" s="1"/>
      <c r="G219" s="5"/>
      <c r="H219" s="16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5"/>
      <c r="D220" s="1"/>
      <c r="E220" s="15"/>
      <c r="F220" s="1"/>
      <c r="G220" s="5"/>
      <c r="H220" s="16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5"/>
      <c r="D221" s="1"/>
      <c r="E221" s="15"/>
      <c r="F221" s="1"/>
      <c r="G221" s="5"/>
      <c r="H221" s="16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5"/>
      <c r="D222" s="1"/>
      <c r="E222" s="15"/>
      <c r="F222" s="1"/>
      <c r="G222" s="5"/>
      <c r="H222" s="16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5"/>
      <c r="D223" s="1"/>
      <c r="E223" s="15"/>
      <c r="F223" s="1"/>
      <c r="G223" s="5"/>
      <c r="H223" s="16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5"/>
      <c r="D224" s="1"/>
      <c r="E224" s="15"/>
      <c r="F224" s="1"/>
      <c r="G224" s="5"/>
      <c r="H224" s="16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5"/>
      <c r="D225" s="1"/>
      <c r="E225" s="15"/>
      <c r="F225" s="1"/>
      <c r="G225" s="5"/>
      <c r="H225" s="16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5"/>
      <c r="D226" s="1"/>
      <c r="E226" s="15"/>
      <c r="F226" s="1"/>
      <c r="G226" s="5"/>
      <c r="H226" s="16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5"/>
      <c r="D227" s="1"/>
      <c r="E227" s="15"/>
      <c r="F227" s="1"/>
      <c r="G227" s="5"/>
      <c r="H227" s="16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5"/>
      <c r="D228" s="1"/>
      <c r="E228" s="15"/>
      <c r="F228" s="1"/>
      <c r="G228" s="5"/>
      <c r="H228" s="16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5"/>
      <c r="D229" s="1"/>
      <c r="E229" s="15"/>
      <c r="F229" s="1"/>
      <c r="G229" s="5"/>
      <c r="H229" s="16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5"/>
      <c r="D230" s="1"/>
      <c r="E230" s="15"/>
      <c r="F230" s="1"/>
      <c r="G230" s="5"/>
      <c r="H230" s="16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5"/>
      <c r="D231" s="1"/>
      <c r="E231" s="15"/>
      <c r="F231" s="1"/>
      <c r="G231" s="5"/>
      <c r="H231" s="16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5"/>
      <c r="D232" s="1"/>
      <c r="E232" s="15"/>
      <c r="F232" s="1"/>
      <c r="G232" s="5"/>
      <c r="H232" s="16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5"/>
      <c r="D233" s="1"/>
      <c r="E233" s="15"/>
      <c r="F233" s="1"/>
      <c r="G233" s="5"/>
      <c r="H233" s="16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5"/>
      <c r="D234" s="1"/>
      <c r="E234" s="15"/>
      <c r="F234" s="1"/>
      <c r="G234" s="5"/>
      <c r="H234" s="16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5"/>
      <c r="D235" s="1"/>
      <c r="E235" s="15"/>
      <c r="F235" s="1"/>
      <c r="G235" s="5"/>
      <c r="H235" s="16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5"/>
      <c r="D236" s="1"/>
      <c r="E236" s="15"/>
      <c r="F236" s="1"/>
      <c r="G236" s="5"/>
      <c r="H236" s="16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5"/>
      <c r="D237" s="1"/>
      <c r="E237" s="15"/>
      <c r="F237" s="1"/>
      <c r="G237" s="5"/>
      <c r="H237" s="16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5"/>
      <c r="D238" s="1"/>
      <c r="E238" s="15"/>
      <c r="F238" s="1"/>
      <c r="G238" s="5"/>
      <c r="H238" s="16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5"/>
      <c r="D239" s="1"/>
      <c r="E239" s="15"/>
      <c r="F239" s="1"/>
      <c r="G239" s="5"/>
      <c r="H239" s="16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5"/>
      <c r="D240" s="1"/>
      <c r="E240" s="15"/>
      <c r="F240" s="1"/>
      <c r="G240" s="5"/>
      <c r="H240" s="16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5"/>
      <c r="D241" s="1"/>
      <c r="E241" s="15"/>
      <c r="F241" s="1"/>
      <c r="G241" s="5"/>
      <c r="H241" s="16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5"/>
      <c r="D242" s="1"/>
      <c r="E242" s="15"/>
      <c r="F242" s="1"/>
      <c r="G242" s="5"/>
      <c r="H242" s="16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5"/>
      <c r="D243" s="1"/>
      <c r="E243" s="15"/>
      <c r="F243" s="1"/>
      <c r="G243" s="5"/>
      <c r="H243" s="16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5"/>
      <c r="D244" s="1"/>
      <c r="E244" s="15"/>
      <c r="F244" s="1"/>
      <c r="G244" s="5"/>
      <c r="H244" s="16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5"/>
      <c r="D245" s="1"/>
      <c r="E245" s="15"/>
      <c r="F245" s="1"/>
      <c r="G245" s="5"/>
      <c r="H245" s="16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5"/>
      <c r="D246" s="1"/>
      <c r="E246" s="15"/>
      <c r="F246" s="1"/>
      <c r="G246" s="5"/>
      <c r="H246" s="16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5"/>
      <c r="D247" s="1"/>
      <c r="E247" s="15"/>
      <c r="F247" s="1"/>
      <c r="G247" s="5"/>
      <c r="H247" s="16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5"/>
      <c r="D248" s="1"/>
      <c r="E248" s="15"/>
      <c r="F248" s="1"/>
      <c r="G248" s="5"/>
      <c r="H248" s="16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5"/>
      <c r="D249" s="1"/>
      <c r="E249" s="15"/>
      <c r="F249" s="1"/>
      <c r="G249" s="5"/>
      <c r="H249" s="16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5"/>
      <c r="D250" s="1"/>
      <c r="E250" s="15"/>
      <c r="F250" s="1"/>
      <c r="G250" s="5"/>
      <c r="H250" s="16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5"/>
      <c r="D251" s="1"/>
      <c r="E251" s="15"/>
      <c r="F251" s="1"/>
      <c r="G251" s="5"/>
      <c r="H251" s="16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5"/>
      <c r="D252" s="1"/>
      <c r="E252" s="15"/>
      <c r="F252" s="1"/>
      <c r="G252" s="5"/>
      <c r="H252" s="16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5"/>
      <c r="D253" s="1"/>
      <c r="E253" s="15"/>
      <c r="F253" s="1"/>
      <c r="G253" s="5"/>
      <c r="H253" s="16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5"/>
      <c r="D254" s="1"/>
      <c r="E254" s="15"/>
      <c r="F254" s="1"/>
      <c r="G254" s="5"/>
      <c r="H254" s="16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5"/>
      <c r="D255" s="1"/>
      <c r="E255" s="15"/>
      <c r="F255" s="1"/>
      <c r="G255" s="5"/>
      <c r="H255" s="16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5"/>
      <c r="D256" s="1"/>
      <c r="E256" s="15"/>
      <c r="F256" s="1"/>
      <c r="G256" s="5"/>
      <c r="H256" s="16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5"/>
      <c r="D257" s="1"/>
      <c r="E257" s="15"/>
      <c r="F257" s="1"/>
      <c r="G257" s="5"/>
      <c r="H257" s="16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5"/>
      <c r="D258" s="1"/>
      <c r="E258" s="15"/>
      <c r="F258" s="1"/>
      <c r="G258" s="5"/>
      <c r="H258" s="16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5"/>
      <c r="D259" s="1"/>
      <c r="E259" s="15"/>
      <c r="F259" s="1"/>
      <c r="G259" s="5"/>
      <c r="H259" s="16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5"/>
      <c r="D260" s="1"/>
      <c r="E260" s="15"/>
      <c r="F260" s="1"/>
      <c r="G260" s="5"/>
      <c r="H260" s="16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5"/>
      <c r="D261" s="1"/>
      <c r="E261" s="15"/>
      <c r="F261" s="1"/>
      <c r="G261" s="5"/>
      <c r="H261" s="16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5"/>
      <c r="D262" s="1"/>
      <c r="E262" s="15"/>
      <c r="F262" s="1"/>
      <c r="G262" s="5"/>
      <c r="H262" s="16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5"/>
      <c r="D263" s="1"/>
      <c r="E263" s="15"/>
      <c r="F263" s="1"/>
      <c r="G263" s="5"/>
      <c r="H263" s="16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5"/>
      <c r="D264" s="1"/>
      <c r="E264" s="15"/>
      <c r="F264" s="1"/>
      <c r="G264" s="5"/>
      <c r="H264" s="16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5"/>
      <c r="D265" s="1"/>
      <c r="E265" s="15"/>
      <c r="F265" s="1"/>
      <c r="G265" s="5"/>
      <c r="H265" s="16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5"/>
      <c r="D266" s="1"/>
      <c r="E266" s="15"/>
      <c r="F266" s="1"/>
      <c r="G266" s="5"/>
      <c r="H266" s="16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5"/>
      <c r="D267" s="1"/>
      <c r="E267" s="15"/>
      <c r="F267" s="1"/>
      <c r="G267" s="5"/>
      <c r="H267" s="16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5"/>
      <c r="D268" s="1"/>
      <c r="E268" s="15"/>
      <c r="F268" s="1"/>
      <c r="G268" s="5"/>
      <c r="H268" s="16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5"/>
      <c r="D269" s="1"/>
      <c r="E269" s="15"/>
      <c r="F269" s="1"/>
      <c r="G269" s="5"/>
      <c r="H269" s="16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5"/>
      <c r="D270" s="1"/>
      <c r="E270" s="15"/>
      <c r="F270" s="1"/>
      <c r="G270" s="5"/>
      <c r="H270" s="16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5"/>
      <c r="D271" s="1"/>
      <c r="E271" s="15"/>
      <c r="F271" s="1"/>
      <c r="G271" s="5"/>
      <c r="H271" s="16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5"/>
      <c r="D272" s="1"/>
      <c r="E272" s="15"/>
      <c r="F272" s="1"/>
      <c r="G272" s="5"/>
      <c r="H272" s="16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5"/>
      <c r="D273" s="1"/>
      <c r="E273" s="15"/>
      <c r="F273" s="1"/>
      <c r="G273" s="5"/>
      <c r="H273" s="16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5"/>
      <c r="D274" s="1"/>
      <c r="E274" s="15"/>
      <c r="F274" s="1"/>
      <c r="G274" s="5"/>
      <c r="H274" s="16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5"/>
      <c r="D275" s="1"/>
      <c r="E275" s="15"/>
      <c r="F275" s="1"/>
      <c r="G275" s="5"/>
      <c r="H275" s="16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5"/>
      <c r="D276" s="1"/>
      <c r="E276" s="15"/>
      <c r="F276" s="1"/>
      <c r="G276" s="5"/>
      <c r="H276" s="16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5"/>
      <c r="D277" s="1"/>
      <c r="E277" s="15"/>
      <c r="F277" s="1"/>
      <c r="G277" s="5"/>
      <c r="H277" s="16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5"/>
      <c r="D278" s="1"/>
      <c r="E278" s="15"/>
      <c r="F278" s="1"/>
      <c r="G278" s="5"/>
      <c r="H278" s="16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5"/>
      <c r="D279" s="1"/>
      <c r="E279" s="15"/>
      <c r="F279" s="1"/>
      <c r="G279" s="5"/>
      <c r="H279" s="16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5"/>
      <c r="D280" s="1"/>
      <c r="E280" s="15"/>
      <c r="F280" s="1"/>
      <c r="G280" s="5"/>
      <c r="H280" s="16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5"/>
      <c r="D281" s="1"/>
      <c r="E281" s="15"/>
      <c r="F281" s="1"/>
      <c r="G281" s="5"/>
      <c r="H281" s="16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5"/>
      <c r="D282" s="1"/>
      <c r="E282" s="15"/>
      <c r="F282" s="1"/>
      <c r="G282" s="5"/>
      <c r="H282" s="16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5"/>
      <c r="D283" s="1"/>
      <c r="E283" s="15"/>
      <c r="F283" s="1"/>
      <c r="G283" s="5"/>
      <c r="H283" s="16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5"/>
      <c r="D284" s="1"/>
      <c r="E284" s="15"/>
      <c r="F284" s="1"/>
      <c r="G284" s="5"/>
      <c r="H284" s="16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5"/>
      <c r="D285" s="1"/>
      <c r="E285" s="15"/>
      <c r="F285" s="1"/>
      <c r="G285" s="5"/>
      <c r="H285" s="16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5"/>
      <c r="D286" s="1"/>
      <c r="E286" s="15"/>
      <c r="F286" s="1"/>
      <c r="G286" s="5"/>
      <c r="H286" s="16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5"/>
      <c r="D287" s="1"/>
      <c r="E287" s="15"/>
      <c r="F287" s="1"/>
      <c r="G287" s="5"/>
      <c r="H287" s="16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5"/>
      <c r="D288" s="1"/>
      <c r="E288" s="15"/>
      <c r="F288" s="1"/>
      <c r="G288" s="5"/>
      <c r="H288" s="16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5"/>
      <c r="D289" s="1"/>
      <c r="E289" s="15"/>
      <c r="F289" s="1"/>
      <c r="G289" s="5"/>
      <c r="H289" s="16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5"/>
      <c r="D290" s="1"/>
      <c r="E290" s="15"/>
      <c r="F290" s="1"/>
      <c r="G290" s="5"/>
      <c r="H290" s="16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5"/>
      <c r="D291" s="1"/>
      <c r="E291" s="15"/>
      <c r="F291" s="1"/>
      <c r="G291" s="5"/>
      <c r="H291" s="16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5"/>
      <c r="D292" s="1"/>
      <c r="E292" s="15"/>
      <c r="F292" s="1"/>
      <c r="G292" s="5"/>
      <c r="H292" s="16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5"/>
      <c r="D293" s="1"/>
      <c r="E293" s="15"/>
      <c r="F293" s="1"/>
      <c r="G293" s="5"/>
      <c r="H293" s="16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5"/>
      <c r="D294" s="1"/>
      <c r="E294" s="15"/>
      <c r="F294" s="1"/>
      <c r="G294" s="5"/>
      <c r="H294" s="16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5"/>
      <c r="D295" s="1"/>
      <c r="E295" s="15"/>
      <c r="F295" s="1"/>
      <c r="G295" s="5"/>
      <c r="H295" s="16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5"/>
      <c r="D296" s="1"/>
      <c r="E296" s="15"/>
      <c r="F296" s="1"/>
      <c r="G296" s="5"/>
      <c r="H296" s="16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5"/>
      <c r="D297" s="1"/>
      <c r="E297" s="15"/>
      <c r="F297" s="1"/>
      <c r="G297" s="5"/>
      <c r="H297" s="16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5"/>
      <c r="D298" s="1"/>
      <c r="E298" s="15"/>
      <c r="F298" s="1"/>
      <c r="G298" s="5"/>
      <c r="H298" s="16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5"/>
      <c r="D299" s="1"/>
      <c r="E299" s="15"/>
      <c r="F299" s="1"/>
      <c r="G299" s="5"/>
      <c r="H299" s="16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5"/>
      <c r="D300" s="1"/>
      <c r="E300" s="15"/>
      <c r="F300" s="1"/>
      <c r="G300" s="5"/>
      <c r="H300" s="16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5"/>
      <c r="D301" s="1"/>
      <c r="E301" s="15"/>
      <c r="F301" s="1"/>
      <c r="G301" s="5"/>
      <c r="H301" s="16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5"/>
      <c r="D302" s="1"/>
      <c r="E302" s="15"/>
      <c r="F302" s="1"/>
      <c r="G302" s="5"/>
      <c r="H302" s="16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5"/>
      <c r="D303" s="1"/>
      <c r="E303" s="15"/>
      <c r="F303" s="1"/>
      <c r="G303" s="5"/>
      <c r="H303" s="16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5"/>
      <c r="D304" s="1"/>
      <c r="E304" s="15"/>
      <c r="F304" s="1"/>
      <c r="G304" s="5"/>
      <c r="H304" s="16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5"/>
      <c r="D305" s="1"/>
      <c r="E305" s="15"/>
      <c r="F305" s="1"/>
      <c r="G305" s="5"/>
      <c r="H305" s="16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5"/>
      <c r="D306" s="1"/>
      <c r="E306" s="15"/>
      <c r="F306" s="1"/>
      <c r="G306" s="5"/>
      <c r="H306" s="16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5"/>
      <c r="D307" s="1"/>
      <c r="E307" s="15"/>
      <c r="F307" s="1"/>
      <c r="G307" s="5"/>
      <c r="H307" s="16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5"/>
      <c r="D308" s="1"/>
      <c r="E308" s="15"/>
      <c r="F308" s="1"/>
      <c r="G308" s="5"/>
      <c r="H308" s="16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5"/>
      <c r="D309" s="1"/>
      <c r="E309" s="15"/>
      <c r="F309" s="1"/>
      <c r="G309" s="5"/>
      <c r="H309" s="16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5"/>
      <c r="D310" s="1"/>
      <c r="E310" s="15"/>
      <c r="F310" s="1"/>
      <c r="G310" s="5"/>
      <c r="H310" s="16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5"/>
      <c r="D311" s="1"/>
      <c r="E311" s="15"/>
      <c r="F311" s="1"/>
      <c r="G311" s="5"/>
      <c r="H311" s="16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5"/>
      <c r="D312" s="1"/>
      <c r="E312" s="15"/>
      <c r="F312" s="1"/>
      <c r="G312" s="5"/>
      <c r="H312" s="16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5"/>
      <c r="D313" s="1"/>
      <c r="E313" s="15"/>
      <c r="F313" s="1"/>
      <c r="G313" s="5"/>
      <c r="H313" s="16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5"/>
      <c r="D314" s="1"/>
      <c r="E314" s="15"/>
      <c r="F314" s="1"/>
      <c r="G314" s="5"/>
      <c r="H314" s="16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5"/>
      <c r="D315" s="1"/>
      <c r="E315" s="15"/>
      <c r="F315" s="1"/>
      <c r="G315" s="5"/>
      <c r="H315" s="16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5"/>
      <c r="D316" s="1"/>
      <c r="E316" s="15"/>
      <c r="F316" s="1"/>
      <c r="G316" s="5"/>
      <c r="H316" s="16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5"/>
      <c r="D317" s="1"/>
      <c r="E317" s="15"/>
      <c r="F317" s="1"/>
      <c r="G317" s="5"/>
      <c r="H317" s="16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5"/>
      <c r="D318" s="1"/>
      <c r="E318" s="15"/>
      <c r="F318" s="1"/>
      <c r="G318" s="5"/>
      <c r="H318" s="16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5"/>
      <c r="D319" s="1"/>
      <c r="E319" s="15"/>
      <c r="F319" s="1"/>
      <c r="G319" s="5"/>
      <c r="H319" s="16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5"/>
      <c r="D320" s="1"/>
      <c r="E320" s="15"/>
      <c r="F320" s="1"/>
      <c r="G320" s="5"/>
      <c r="H320" s="16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5"/>
      <c r="D321" s="1"/>
      <c r="E321" s="15"/>
      <c r="F321" s="1"/>
      <c r="G321" s="5"/>
      <c r="H321" s="16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5"/>
      <c r="D322" s="1"/>
      <c r="E322" s="15"/>
      <c r="F322" s="1"/>
      <c r="G322" s="5"/>
      <c r="H322" s="16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5"/>
      <c r="D323" s="1"/>
      <c r="E323" s="15"/>
      <c r="F323" s="1"/>
      <c r="G323" s="5"/>
      <c r="H323" s="16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5"/>
      <c r="D324" s="1"/>
      <c r="E324" s="15"/>
      <c r="F324" s="1"/>
      <c r="G324" s="5"/>
      <c r="H324" s="16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5"/>
      <c r="D325" s="1"/>
      <c r="E325" s="15"/>
      <c r="F325" s="1"/>
      <c r="G325" s="5"/>
      <c r="H325" s="16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5"/>
      <c r="D326" s="1"/>
      <c r="E326" s="15"/>
      <c r="F326" s="1"/>
      <c r="G326" s="5"/>
      <c r="H326" s="16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5"/>
      <c r="D327" s="1"/>
      <c r="E327" s="15"/>
      <c r="F327" s="1"/>
      <c r="G327" s="5"/>
      <c r="H327" s="16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5"/>
      <c r="D328" s="1"/>
      <c r="E328" s="15"/>
      <c r="F328" s="1"/>
      <c r="G328" s="5"/>
      <c r="H328" s="16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5"/>
      <c r="D329" s="1"/>
      <c r="E329" s="15"/>
      <c r="F329" s="1"/>
      <c r="G329" s="5"/>
      <c r="H329" s="16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5"/>
      <c r="D330" s="1"/>
      <c r="E330" s="15"/>
      <c r="F330" s="1"/>
      <c r="G330" s="5"/>
      <c r="H330" s="16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5"/>
      <c r="D331" s="1"/>
      <c r="E331" s="15"/>
      <c r="F331" s="1"/>
      <c r="G331" s="5"/>
      <c r="H331" s="16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5"/>
      <c r="D332" s="1"/>
      <c r="E332" s="15"/>
      <c r="F332" s="1"/>
      <c r="G332" s="5"/>
      <c r="H332" s="16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5"/>
      <c r="D333" s="1"/>
      <c r="E333" s="15"/>
      <c r="F333" s="1"/>
      <c r="G333" s="5"/>
      <c r="H333" s="16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5"/>
      <c r="D334" s="1"/>
      <c r="E334" s="15"/>
      <c r="F334" s="1"/>
      <c r="G334" s="5"/>
      <c r="H334" s="16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5"/>
      <c r="D335" s="1"/>
      <c r="E335" s="15"/>
      <c r="F335" s="1"/>
      <c r="G335" s="5"/>
      <c r="H335" s="16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5"/>
      <c r="D336" s="1"/>
      <c r="E336" s="15"/>
      <c r="F336" s="1"/>
      <c r="G336" s="5"/>
      <c r="H336" s="16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5"/>
      <c r="D337" s="1"/>
      <c r="E337" s="15"/>
      <c r="F337" s="1"/>
      <c r="G337" s="5"/>
      <c r="H337" s="16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5"/>
      <c r="D338" s="1"/>
      <c r="E338" s="15"/>
      <c r="F338" s="1"/>
      <c r="G338" s="5"/>
      <c r="H338" s="16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5"/>
      <c r="D339" s="1"/>
      <c r="E339" s="15"/>
      <c r="F339" s="1"/>
      <c r="G339" s="5"/>
      <c r="H339" s="16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5"/>
      <c r="D340" s="1"/>
      <c r="E340" s="15"/>
      <c r="F340" s="1"/>
      <c r="G340" s="5"/>
      <c r="H340" s="16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5"/>
      <c r="D341" s="1"/>
      <c r="E341" s="15"/>
      <c r="F341" s="1"/>
      <c r="G341" s="5"/>
      <c r="H341" s="16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5"/>
      <c r="D342" s="1"/>
      <c r="E342" s="15"/>
      <c r="F342" s="1"/>
      <c r="G342" s="5"/>
      <c r="H342" s="16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5"/>
      <c r="D343" s="1"/>
      <c r="E343" s="15"/>
      <c r="F343" s="1"/>
      <c r="G343" s="5"/>
      <c r="H343" s="16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5"/>
      <c r="D344" s="1"/>
      <c r="E344" s="15"/>
      <c r="F344" s="1"/>
      <c r="G344" s="5"/>
      <c r="H344" s="16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5"/>
      <c r="D345" s="1"/>
      <c r="E345" s="15"/>
      <c r="F345" s="1"/>
      <c r="G345" s="5"/>
      <c r="H345" s="16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5"/>
      <c r="D346" s="1"/>
      <c r="E346" s="15"/>
      <c r="F346" s="1"/>
      <c r="G346" s="5"/>
      <c r="H346" s="16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5"/>
      <c r="D347" s="1"/>
      <c r="E347" s="15"/>
      <c r="F347" s="1"/>
      <c r="G347" s="5"/>
      <c r="H347" s="16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5"/>
      <c r="D348" s="1"/>
      <c r="E348" s="15"/>
      <c r="F348" s="1"/>
      <c r="G348" s="5"/>
      <c r="H348" s="16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5"/>
      <c r="D349" s="1"/>
      <c r="E349" s="15"/>
      <c r="F349" s="1"/>
      <c r="G349" s="5"/>
      <c r="H349" s="16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5"/>
      <c r="D350" s="1"/>
      <c r="E350" s="15"/>
      <c r="F350" s="1"/>
      <c r="G350" s="5"/>
      <c r="H350" s="16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5"/>
      <c r="D351" s="1"/>
      <c r="E351" s="15"/>
      <c r="F351" s="1"/>
      <c r="G351" s="5"/>
      <c r="H351" s="16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5"/>
      <c r="D352" s="1"/>
      <c r="E352" s="15"/>
      <c r="F352" s="1"/>
      <c r="G352" s="5"/>
      <c r="H352" s="16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5"/>
      <c r="D353" s="1"/>
      <c r="E353" s="15"/>
      <c r="F353" s="1"/>
      <c r="G353" s="5"/>
      <c r="H353" s="16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5"/>
      <c r="D354" s="1"/>
      <c r="E354" s="15"/>
      <c r="F354" s="1"/>
      <c r="G354" s="5"/>
      <c r="H354" s="16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5"/>
      <c r="D355" s="1"/>
      <c r="E355" s="15"/>
      <c r="F355" s="1"/>
      <c r="G355" s="5"/>
      <c r="H355" s="16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5"/>
      <c r="D356" s="1"/>
      <c r="E356" s="15"/>
      <c r="F356" s="1"/>
      <c r="G356" s="5"/>
      <c r="H356" s="16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5"/>
      <c r="D357" s="1"/>
      <c r="E357" s="15"/>
      <c r="F357" s="1"/>
      <c r="G357" s="5"/>
      <c r="H357" s="16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5"/>
      <c r="D358" s="1"/>
      <c r="E358" s="15"/>
      <c r="F358" s="1"/>
      <c r="G358" s="5"/>
      <c r="H358" s="16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5"/>
      <c r="D359" s="1"/>
      <c r="E359" s="15"/>
      <c r="F359" s="1"/>
      <c r="G359" s="5"/>
      <c r="H359" s="16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5"/>
      <c r="D360" s="1"/>
      <c r="E360" s="15"/>
      <c r="F360" s="1"/>
      <c r="G360" s="5"/>
      <c r="H360" s="16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5"/>
      <c r="D361" s="1"/>
      <c r="E361" s="15"/>
      <c r="F361" s="1"/>
      <c r="G361" s="5"/>
      <c r="H361" s="16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5"/>
      <c r="D362" s="1"/>
      <c r="E362" s="15"/>
      <c r="F362" s="1"/>
      <c r="G362" s="5"/>
      <c r="H362" s="16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5"/>
      <c r="D363" s="1"/>
      <c r="E363" s="15"/>
      <c r="F363" s="1"/>
      <c r="G363" s="5"/>
      <c r="H363" s="16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5"/>
      <c r="D364" s="1"/>
      <c r="E364" s="15"/>
      <c r="F364" s="1"/>
      <c r="G364" s="5"/>
      <c r="H364" s="16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5"/>
      <c r="D365" s="1"/>
      <c r="E365" s="15"/>
      <c r="F365" s="1"/>
      <c r="G365" s="5"/>
      <c r="H365" s="16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5"/>
      <c r="D366" s="1"/>
      <c r="E366" s="15"/>
      <c r="F366" s="1"/>
      <c r="G366" s="5"/>
      <c r="H366" s="16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5"/>
      <c r="D367" s="1"/>
      <c r="E367" s="15"/>
      <c r="F367" s="1"/>
      <c r="G367" s="5"/>
      <c r="H367" s="16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5"/>
      <c r="D368" s="1"/>
      <c r="E368" s="15"/>
      <c r="F368" s="1"/>
      <c r="G368" s="5"/>
      <c r="H368" s="16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5"/>
      <c r="D369" s="1"/>
      <c r="E369" s="15"/>
      <c r="F369" s="1"/>
      <c r="G369" s="5"/>
      <c r="H369" s="16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5"/>
      <c r="D370" s="1"/>
      <c r="E370" s="15"/>
      <c r="F370" s="1"/>
      <c r="G370" s="5"/>
      <c r="H370" s="16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5"/>
      <c r="D371" s="1"/>
      <c r="E371" s="15"/>
      <c r="F371" s="1"/>
      <c r="G371" s="5"/>
      <c r="H371" s="16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5"/>
      <c r="D372" s="1"/>
      <c r="E372" s="15"/>
      <c r="F372" s="1"/>
      <c r="G372" s="5"/>
      <c r="H372" s="16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5"/>
      <c r="D373" s="1"/>
      <c r="E373" s="15"/>
      <c r="F373" s="1"/>
      <c r="G373" s="5"/>
      <c r="H373" s="16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5"/>
      <c r="D374" s="1"/>
      <c r="E374" s="15"/>
      <c r="F374" s="1"/>
      <c r="G374" s="5"/>
      <c r="H374" s="16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5"/>
      <c r="D375" s="1"/>
      <c r="E375" s="15"/>
      <c r="F375" s="1"/>
      <c r="G375" s="5"/>
      <c r="H375" s="16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5"/>
      <c r="D376" s="1"/>
      <c r="E376" s="15"/>
      <c r="F376" s="1"/>
      <c r="G376" s="5"/>
      <c r="H376" s="16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5"/>
      <c r="D377" s="1"/>
      <c r="E377" s="15"/>
      <c r="F377" s="1"/>
      <c r="G377" s="5"/>
      <c r="H377" s="16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5"/>
      <c r="D378" s="1"/>
      <c r="E378" s="15"/>
      <c r="F378" s="1"/>
      <c r="G378" s="5"/>
      <c r="H378" s="16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5"/>
      <c r="D379" s="1"/>
      <c r="E379" s="15"/>
      <c r="F379" s="1"/>
      <c r="G379" s="5"/>
      <c r="H379" s="16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5"/>
      <c r="D380" s="1"/>
      <c r="E380" s="15"/>
      <c r="F380" s="1"/>
      <c r="G380" s="5"/>
      <c r="H380" s="16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5"/>
      <c r="D381" s="1"/>
      <c r="E381" s="15"/>
      <c r="F381" s="1"/>
      <c r="G381" s="5"/>
      <c r="H381" s="16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5"/>
      <c r="D382" s="1"/>
      <c r="E382" s="15"/>
      <c r="F382" s="1"/>
      <c r="G382" s="5"/>
      <c r="H382" s="16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5"/>
      <c r="D383" s="1"/>
      <c r="E383" s="15"/>
      <c r="F383" s="1"/>
      <c r="G383" s="5"/>
      <c r="H383" s="16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5"/>
      <c r="D384" s="1"/>
      <c r="E384" s="15"/>
      <c r="F384" s="1"/>
      <c r="G384" s="5"/>
      <c r="H384" s="16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5"/>
      <c r="D385" s="1"/>
      <c r="E385" s="15"/>
      <c r="F385" s="1"/>
      <c r="G385" s="5"/>
      <c r="H385" s="16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5"/>
      <c r="D386" s="1"/>
      <c r="E386" s="15"/>
      <c r="F386" s="1"/>
      <c r="G386" s="5"/>
      <c r="H386" s="16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5"/>
      <c r="D387" s="1"/>
      <c r="E387" s="15"/>
      <c r="F387" s="1"/>
      <c r="G387" s="5"/>
      <c r="H387" s="16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5"/>
      <c r="D388" s="1"/>
      <c r="E388" s="15"/>
      <c r="F388" s="1"/>
      <c r="G388" s="5"/>
      <c r="H388" s="16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5"/>
      <c r="D389" s="1"/>
      <c r="E389" s="15"/>
      <c r="F389" s="1"/>
      <c r="G389" s="5"/>
      <c r="H389" s="16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5"/>
      <c r="D390" s="1"/>
      <c r="E390" s="15"/>
      <c r="F390" s="1"/>
      <c r="G390" s="5"/>
      <c r="H390" s="16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5"/>
      <c r="D391" s="1"/>
      <c r="E391" s="15"/>
      <c r="F391" s="1"/>
      <c r="G391" s="5"/>
      <c r="H391" s="16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5"/>
      <c r="D392" s="1"/>
      <c r="E392" s="15"/>
      <c r="F392" s="1"/>
      <c r="G392" s="5"/>
      <c r="H392" s="16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5"/>
      <c r="D393" s="1"/>
      <c r="E393" s="15"/>
      <c r="F393" s="1"/>
      <c r="G393" s="5"/>
      <c r="H393" s="16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5"/>
      <c r="D394" s="1"/>
      <c r="E394" s="15"/>
      <c r="F394" s="1"/>
      <c r="G394" s="5"/>
      <c r="H394" s="16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5"/>
      <c r="D395" s="1"/>
      <c r="E395" s="15"/>
      <c r="F395" s="1"/>
      <c r="G395" s="5"/>
      <c r="H395" s="16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5"/>
      <c r="D396" s="1"/>
      <c r="E396" s="15"/>
      <c r="F396" s="1"/>
      <c r="G396" s="5"/>
      <c r="H396" s="16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5"/>
      <c r="D397" s="1"/>
      <c r="E397" s="15"/>
      <c r="F397" s="1"/>
      <c r="G397" s="5"/>
      <c r="H397" s="16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5"/>
      <c r="D398" s="1"/>
      <c r="E398" s="15"/>
      <c r="F398" s="1"/>
      <c r="G398" s="5"/>
      <c r="H398" s="16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5"/>
      <c r="D399" s="1"/>
      <c r="E399" s="15"/>
      <c r="F399" s="1"/>
      <c r="G399" s="5"/>
      <c r="H399" s="16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5"/>
      <c r="D400" s="1"/>
      <c r="E400" s="15"/>
      <c r="F400" s="1"/>
      <c r="G400" s="5"/>
      <c r="H400" s="16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5"/>
      <c r="D401" s="1"/>
      <c r="E401" s="15"/>
      <c r="F401" s="1"/>
      <c r="G401" s="5"/>
      <c r="H401" s="16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5"/>
      <c r="D402" s="1"/>
      <c r="E402" s="15"/>
      <c r="F402" s="1"/>
      <c r="G402" s="5"/>
      <c r="H402" s="16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5"/>
      <c r="D403" s="1"/>
      <c r="E403" s="15"/>
      <c r="F403" s="1"/>
      <c r="G403" s="5"/>
      <c r="H403" s="16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5"/>
      <c r="D404" s="1"/>
      <c r="E404" s="15"/>
      <c r="F404" s="1"/>
      <c r="G404" s="5"/>
      <c r="H404" s="16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5"/>
      <c r="D405" s="1"/>
      <c r="E405" s="15"/>
      <c r="F405" s="1"/>
      <c r="G405" s="5"/>
      <c r="H405" s="16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5"/>
      <c r="D406" s="1"/>
      <c r="E406" s="15"/>
      <c r="F406" s="1"/>
      <c r="G406" s="5"/>
      <c r="H406" s="16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5"/>
      <c r="D407" s="1"/>
      <c r="E407" s="15"/>
      <c r="F407" s="1"/>
      <c r="G407" s="5"/>
      <c r="H407" s="16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5"/>
      <c r="D408" s="1"/>
      <c r="E408" s="15"/>
      <c r="F408" s="1"/>
      <c r="G408" s="5"/>
      <c r="H408" s="16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5"/>
      <c r="D409" s="1"/>
      <c r="E409" s="15"/>
      <c r="F409" s="1"/>
      <c r="G409" s="5"/>
      <c r="H409" s="16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5"/>
      <c r="D410" s="1"/>
      <c r="E410" s="15"/>
      <c r="F410" s="1"/>
      <c r="G410" s="5"/>
      <c r="H410" s="16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5"/>
      <c r="D411" s="1"/>
      <c r="E411" s="15"/>
      <c r="F411" s="1"/>
      <c r="G411" s="5"/>
      <c r="H411" s="16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5"/>
      <c r="D412" s="1"/>
      <c r="E412" s="15"/>
      <c r="F412" s="1"/>
      <c r="G412" s="5"/>
      <c r="H412" s="16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5"/>
      <c r="D413" s="1"/>
      <c r="E413" s="15"/>
      <c r="F413" s="1"/>
      <c r="G413" s="5"/>
      <c r="H413" s="16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5"/>
      <c r="D414" s="1"/>
      <c r="E414" s="15"/>
      <c r="F414" s="1"/>
      <c r="G414" s="5"/>
      <c r="H414" s="16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5"/>
      <c r="D415" s="1"/>
      <c r="E415" s="15"/>
      <c r="F415" s="1"/>
      <c r="G415" s="5"/>
      <c r="H415" s="16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5"/>
      <c r="D416" s="1"/>
      <c r="E416" s="15"/>
      <c r="F416" s="1"/>
      <c r="G416" s="5"/>
      <c r="H416" s="16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5"/>
      <c r="D417" s="1"/>
      <c r="E417" s="15"/>
      <c r="F417" s="1"/>
      <c r="G417" s="5"/>
      <c r="H417" s="16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5"/>
      <c r="D418" s="1"/>
      <c r="E418" s="15"/>
      <c r="F418" s="1"/>
      <c r="G418" s="5"/>
      <c r="H418" s="16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5"/>
      <c r="D419" s="1"/>
      <c r="E419" s="15"/>
      <c r="F419" s="1"/>
      <c r="G419" s="5"/>
      <c r="H419" s="16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5"/>
      <c r="D420" s="1"/>
      <c r="E420" s="15"/>
      <c r="F420" s="1"/>
      <c r="G420" s="5"/>
      <c r="H420" s="16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5"/>
      <c r="D421" s="1"/>
      <c r="E421" s="15"/>
      <c r="F421" s="1"/>
      <c r="G421" s="5"/>
      <c r="H421" s="16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5"/>
      <c r="D422" s="1"/>
      <c r="E422" s="15"/>
      <c r="F422" s="1"/>
      <c r="G422" s="5"/>
      <c r="H422" s="16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5"/>
      <c r="D423" s="1"/>
      <c r="E423" s="15"/>
      <c r="F423" s="1"/>
      <c r="G423" s="5"/>
      <c r="H423" s="16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5"/>
      <c r="D424" s="1"/>
      <c r="E424" s="15"/>
      <c r="F424" s="1"/>
      <c r="G424" s="5"/>
      <c r="H424" s="16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5"/>
      <c r="D425" s="1"/>
      <c r="E425" s="15"/>
      <c r="F425" s="1"/>
      <c r="G425" s="5"/>
      <c r="H425" s="16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5"/>
      <c r="D426" s="1"/>
      <c r="E426" s="15"/>
      <c r="F426" s="1"/>
      <c r="G426" s="5"/>
      <c r="H426" s="16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5"/>
      <c r="D427" s="1"/>
      <c r="E427" s="15"/>
      <c r="F427" s="1"/>
      <c r="G427" s="5"/>
      <c r="H427" s="16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5"/>
      <c r="D428" s="1"/>
      <c r="E428" s="15"/>
      <c r="F428" s="1"/>
      <c r="G428" s="5"/>
      <c r="H428" s="16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5"/>
      <c r="D429" s="1"/>
      <c r="E429" s="15"/>
      <c r="F429" s="1"/>
      <c r="G429" s="5"/>
      <c r="H429" s="16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5"/>
      <c r="D430" s="1"/>
      <c r="E430" s="15"/>
      <c r="F430" s="1"/>
      <c r="G430" s="5"/>
      <c r="H430" s="16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5"/>
      <c r="D431" s="1"/>
      <c r="E431" s="15"/>
      <c r="F431" s="1"/>
      <c r="G431" s="5"/>
      <c r="H431" s="16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5"/>
      <c r="D432" s="1"/>
      <c r="E432" s="15"/>
      <c r="F432" s="1"/>
      <c r="G432" s="5"/>
      <c r="H432" s="16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5"/>
      <c r="D433" s="1"/>
      <c r="E433" s="15"/>
      <c r="F433" s="1"/>
      <c r="G433" s="5"/>
      <c r="H433" s="16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5"/>
      <c r="D434" s="1"/>
      <c r="E434" s="15"/>
      <c r="F434" s="1"/>
      <c r="G434" s="5"/>
      <c r="H434" s="16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5"/>
      <c r="D435" s="1"/>
      <c r="E435" s="15"/>
      <c r="F435" s="1"/>
      <c r="G435" s="5"/>
      <c r="H435" s="16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5"/>
      <c r="D436" s="1"/>
      <c r="E436" s="15"/>
      <c r="F436" s="1"/>
      <c r="G436" s="5"/>
      <c r="H436" s="16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5"/>
      <c r="D437" s="1"/>
      <c r="E437" s="15"/>
      <c r="F437" s="1"/>
      <c r="G437" s="5"/>
      <c r="H437" s="16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5"/>
      <c r="D438" s="1"/>
      <c r="E438" s="15"/>
      <c r="F438" s="1"/>
      <c r="G438" s="5"/>
      <c r="H438" s="16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5"/>
      <c r="D439" s="1"/>
      <c r="E439" s="15"/>
      <c r="F439" s="1"/>
      <c r="G439" s="5"/>
      <c r="H439" s="16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5"/>
      <c r="D440" s="1"/>
      <c r="E440" s="15"/>
      <c r="F440" s="1"/>
      <c r="G440" s="5"/>
      <c r="H440" s="16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5"/>
      <c r="D441" s="1"/>
      <c r="E441" s="15"/>
      <c r="F441" s="1"/>
      <c r="G441" s="5"/>
      <c r="H441" s="16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5"/>
      <c r="D442" s="1"/>
      <c r="E442" s="15"/>
      <c r="F442" s="1"/>
      <c r="G442" s="5"/>
      <c r="H442" s="16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5"/>
      <c r="D443" s="1"/>
      <c r="E443" s="15"/>
      <c r="F443" s="1"/>
      <c r="G443" s="5"/>
      <c r="H443" s="16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5"/>
      <c r="D444" s="1"/>
      <c r="E444" s="15"/>
      <c r="F444" s="1"/>
      <c r="G444" s="5"/>
      <c r="H444" s="16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5"/>
      <c r="D445" s="1"/>
      <c r="E445" s="15"/>
      <c r="F445" s="1"/>
      <c r="G445" s="5"/>
      <c r="H445" s="16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5"/>
      <c r="D446" s="1"/>
      <c r="E446" s="15"/>
      <c r="F446" s="1"/>
      <c r="G446" s="5"/>
      <c r="H446" s="16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5"/>
      <c r="D447" s="1"/>
      <c r="E447" s="15"/>
      <c r="F447" s="1"/>
      <c r="G447" s="5"/>
      <c r="H447" s="16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5"/>
      <c r="D448" s="1"/>
      <c r="E448" s="15"/>
      <c r="F448" s="1"/>
      <c r="G448" s="5"/>
      <c r="H448" s="16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5"/>
      <c r="D449" s="1"/>
      <c r="E449" s="15"/>
      <c r="F449" s="1"/>
      <c r="G449" s="5"/>
      <c r="H449" s="16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5"/>
      <c r="D450" s="1"/>
      <c r="E450" s="15"/>
      <c r="F450" s="1"/>
      <c r="G450" s="5"/>
      <c r="H450" s="16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5"/>
      <c r="D451" s="1"/>
      <c r="E451" s="15"/>
      <c r="F451" s="1"/>
      <c r="G451" s="5"/>
      <c r="H451" s="16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5"/>
      <c r="D452" s="1"/>
      <c r="E452" s="15"/>
      <c r="F452" s="1"/>
      <c r="G452" s="5"/>
      <c r="H452" s="16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5"/>
      <c r="D453" s="1"/>
      <c r="E453" s="15"/>
      <c r="F453" s="1"/>
      <c r="G453" s="5"/>
      <c r="H453" s="16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5"/>
      <c r="D454" s="1"/>
      <c r="E454" s="15"/>
      <c r="F454" s="1"/>
      <c r="G454" s="5"/>
      <c r="H454" s="16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5"/>
      <c r="D455" s="1"/>
      <c r="E455" s="15"/>
      <c r="F455" s="1"/>
      <c r="G455" s="5"/>
      <c r="H455" s="16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5"/>
      <c r="D456" s="1"/>
      <c r="E456" s="15"/>
      <c r="F456" s="1"/>
      <c r="G456" s="5"/>
      <c r="H456" s="16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5"/>
      <c r="D457" s="1"/>
      <c r="E457" s="15"/>
      <c r="F457" s="1"/>
      <c r="G457" s="5"/>
      <c r="H457" s="16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5"/>
      <c r="D458" s="1"/>
      <c r="E458" s="15"/>
      <c r="F458" s="1"/>
      <c r="G458" s="5"/>
      <c r="H458" s="16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5"/>
      <c r="D459" s="1"/>
      <c r="E459" s="15"/>
      <c r="F459" s="1"/>
      <c r="G459" s="5"/>
      <c r="H459" s="16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5"/>
      <c r="D460" s="1"/>
      <c r="E460" s="15"/>
      <c r="F460" s="1"/>
      <c r="G460" s="5"/>
      <c r="H460" s="16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5"/>
      <c r="D461" s="1"/>
      <c r="E461" s="15"/>
      <c r="F461" s="1"/>
      <c r="G461" s="5"/>
      <c r="H461" s="16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5"/>
      <c r="D462" s="1"/>
      <c r="E462" s="15"/>
      <c r="F462" s="1"/>
      <c r="G462" s="5"/>
      <c r="H462" s="16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5"/>
      <c r="D463" s="1"/>
      <c r="E463" s="15"/>
      <c r="F463" s="1"/>
      <c r="G463" s="5"/>
      <c r="H463" s="16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5"/>
      <c r="D464" s="1"/>
      <c r="E464" s="15"/>
      <c r="F464" s="1"/>
      <c r="G464" s="5"/>
      <c r="H464" s="16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5"/>
      <c r="D465" s="1"/>
      <c r="E465" s="15"/>
      <c r="F465" s="1"/>
      <c r="G465" s="5"/>
      <c r="H465" s="16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5"/>
      <c r="D466" s="1"/>
      <c r="E466" s="15"/>
      <c r="F466" s="1"/>
      <c r="G466" s="5"/>
      <c r="H466" s="16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5"/>
      <c r="D467" s="1"/>
      <c r="E467" s="15"/>
      <c r="F467" s="1"/>
      <c r="G467" s="5"/>
      <c r="H467" s="16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5"/>
      <c r="D468" s="1"/>
      <c r="E468" s="15"/>
      <c r="F468" s="1"/>
      <c r="G468" s="5"/>
      <c r="H468" s="16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5"/>
      <c r="D469" s="1"/>
      <c r="E469" s="15"/>
      <c r="F469" s="1"/>
      <c r="G469" s="5"/>
      <c r="H469" s="16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5"/>
      <c r="D470" s="1"/>
      <c r="E470" s="15"/>
      <c r="F470" s="1"/>
      <c r="G470" s="5"/>
      <c r="H470" s="16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5"/>
      <c r="D471" s="1"/>
      <c r="E471" s="15"/>
      <c r="F471" s="1"/>
      <c r="G471" s="5"/>
      <c r="H471" s="16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5"/>
      <c r="D472" s="1"/>
      <c r="E472" s="15"/>
      <c r="F472" s="1"/>
      <c r="G472" s="5"/>
      <c r="H472" s="16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5"/>
      <c r="D473" s="1"/>
      <c r="E473" s="15"/>
      <c r="F473" s="1"/>
      <c r="G473" s="5"/>
      <c r="H473" s="16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5"/>
      <c r="D474" s="1"/>
      <c r="E474" s="15"/>
      <c r="F474" s="1"/>
      <c r="G474" s="5"/>
      <c r="H474" s="16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5"/>
      <c r="D475" s="1"/>
      <c r="E475" s="15"/>
      <c r="F475" s="1"/>
      <c r="G475" s="5"/>
      <c r="H475" s="16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5"/>
      <c r="D476" s="1"/>
      <c r="E476" s="15"/>
      <c r="F476" s="1"/>
      <c r="G476" s="5"/>
      <c r="H476" s="16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5"/>
      <c r="D477" s="1"/>
      <c r="E477" s="15"/>
      <c r="F477" s="1"/>
      <c r="G477" s="5"/>
      <c r="H477" s="16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5"/>
      <c r="D478" s="1"/>
      <c r="E478" s="15"/>
      <c r="F478" s="1"/>
      <c r="G478" s="5"/>
      <c r="H478" s="16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5"/>
      <c r="D479" s="1"/>
      <c r="E479" s="15"/>
      <c r="F479" s="1"/>
      <c r="G479" s="5"/>
      <c r="H479" s="16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5"/>
      <c r="D480" s="1"/>
      <c r="E480" s="15"/>
      <c r="F480" s="1"/>
      <c r="G480" s="5"/>
      <c r="H480" s="16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5"/>
      <c r="D481" s="1"/>
      <c r="E481" s="15"/>
      <c r="F481" s="1"/>
      <c r="G481" s="5"/>
      <c r="H481" s="16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5"/>
      <c r="D482" s="1"/>
      <c r="E482" s="15"/>
      <c r="F482" s="1"/>
      <c r="G482" s="5"/>
      <c r="H482" s="16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5"/>
      <c r="D483" s="1"/>
      <c r="E483" s="15"/>
      <c r="F483" s="1"/>
      <c r="G483" s="5"/>
      <c r="H483" s="16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5"/>
      <c r="D484" s="1"/>
      <c r="E484" s="15"/>
      <c r="F484" s="1"/>
      <c r="G484" s="5"/>
      <c r="H484" s="16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5"/>
      <c r="D485" s="1"/>
      <c r="E485" s="15"/>
      <c r="F485" s="1"/>
      <c r="G485" s="5"/>
      <c r="H485" s="16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5"/>
      <c r="D486" s="1"/>
      <c r="E486" s="15"/>
      <c r="F486" s="1"/>
      <c r="G486" s="5"/>
      <c r="H486" s="16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5"/>
      <c r="D487" s="1"/>
      <c r="E487" s="15"/>
      <c r="F487" s="1"/>
      <c r="G487" s="5"/>
      <c r="H487" s="16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5"/>
      <c r="D488" s="1"/>
      <c r="E488" s="15"/>
      <c r="F488" s="1"/>
      <c r="G488" s="5"/>
      <c r="H488" s="16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5"/>
      <c r="D489" s="1"/>
      <c r="E489" s="15"/>
      <c r="F489" s="1"/>
      <c r="G489" s="5"/>
      <c r="H489" s="16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5"/>
      <c r="D490" s="1"/>
      <c r="E490" s="15"/>
      <c r="F490" s="1"/>
      <c r="G490" s="5"/>
      <c r="H490" s="16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5"/>
      <c r="D491" s="1"/>
      <c r="E491" s="15"/>
      <c r="F491" s="1"/>
      <c r="G491" s="5"/>
      <c r="H491" s="16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5"/>
      <c r="D492" s="1"/>
      <c r="E492" s="15"/>
      <c r="F492" s="1"/>
      <c r="G492" s="5"/>
      <c r="H492" s="16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5"/>
      <c r="D493" s="1"/>
      <c r="E493" s="15"/>
      <c r="F493" s="1"/>
      <c r="G493" s="5"/>
      <c r="H493" s="16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5"/>
      <c r="D494" s="1"/>
      <c r="E494" s="15"/>
      <c r="F494" s="1"/>
      <c r="G494" s="5"/>
      <c r="H494" s="16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5"/>
      <c r="D495" s="1"/>
      <c r="E495" s="15"/>
      <c r="F495" s="1"/>
      <c r="G495" s="5"/>
      <c r="H495" s="16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5"/>
      <c r="D496" s="1"/>
      <c r="E496" s="15"/>
      <c r="F496" s="1"/>
      <c r="G496" s="5"/>
      <c r="H496" s="16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5"/>
      <c r="D497" s="1"/>
      <c r="E497" s="15"/>
      <c r="F497" s="1"/>
      <c r="G497" s="5"/>
      <c r="H497" s="16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5"/>
      <c r="D498" s="1"/>
      <c r="E498" s="15"/>
      <c r="F498" s="1"/>
      <c r="G498" s="5"/>
      <c r="H498" s="16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5"/>
      <c r="D499" s="1"/>
      <c r="E499" s="15"/>
      <c r="F499" s="1"/>
      <c r="G499" s="5"/>
      <c r="H499" s="16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5"/>
      <c r="D500" s="1"/>
      <c r="E500" s="15"/>
      <c r="F500" s="1"/>
      <c r="G500" s="5"/>
      <c r="H500" s="16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5"/>
      <c r="D501" s="1"/>
      <c r="E501" s="15"/>
      <c r="F501" s="1"/>
      <c r="G501" s="5"/>
      <c r="H501" s="16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5"/>
      <c r="D502" s="1"/>
      <c r="E502" s="15"/>
      <c r="F502" s="1"/>
      <c r="G502" s="5"/>
      <c r="H502" s="16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5"/>
      <c r="D503" s="1"/>
      <c r="E503" s="15"/>
      <c r="F503" s="1"/>
      <c r="G503" s="5"/>
      <c r="H503" s="16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5"/>
      <c r="D504" s="1"/>
      <c r="E504" s="15"/>
      <c r="F504" s="1"/>
      <c r="G504" s="5"/>
      <c r="H504" s="16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5"/>
      <c r="D505" s="1"/>
      <c r="E505" s="15"/>
      <c r="F505" s="1"/>
      <c r="G505" s="5"/>
      <c r="H505" s="16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5"/>
      <c r="D506" s="1"/>
      <c r="E506" s="15"/>
      <c r="F506" s="1"/>
      <c r="G506" s="5"/>
      <c r="H506" s="16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5"/>
      <c r="D507" s="1"/>
      <c r="E507" s="15"/>
      <c r="F507" s="1"/>
      <c r="G507" s="5"/>
      <c r="H507" s="16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5"/>
      <c r="D508" s="1"/>
      <c r="E508" s="15"/>
      <c r="F508" s="1"/>
      <c r="G508" s="5"/>
      <c r="H508" s="16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5"/>
      <c r="D509" s="1"/>
      <c r="E509" s="15"/>
      <c r="F509" s="1"/>
      <c r="G509" s="5"/>
      <c r="H509" s="16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5"/>
      <c r="D510" s="1"/>
      <c r="E510" s="15"/>
      <c r="F510" s="1"/>
      <c r="G510" s="5"/>
      <c r="H510" s="16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5"/>
      <c r="D511" s="1"/>
      <c r="E511" s="15"/>
      <c r="F511" s="1"/>
      <c r="G511" s="5"/>
      <c r="H511" s="16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5"/>
      <c r="D512" s="1"/>
      <c r="E512" s="15"/>
      <c r="F512" s="1"/>
      <c r="G512" s="5"/>
      <c r="H512" s="16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5"/>
      <c r="D513" s="1"/>
      <c r="E513" s="15"/>
      <c r="F513" s="1"/>
      <c r="G513" s="5"/>
      <c r="H513" s="16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5"/>
      <c r="D514" s="1"/>
      <c r="E514" s="15"/>
      <c r="F514" s="1"/>
      <c r="G514" s="5"/>
      <c r="H514" s="16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5"/>
      <c r="D515" s="1"/>
      <c r="E515" s="15"/>
      <c r="F515" s="1"/>
      <c r="G515" s="5"/>
      <c r="H515" s="16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5"/>
      <c r="D516" s="1"/>
      <c r="E516" s="15"/>
      <c r="F516" s="1"/>
      <c r="G516" s="5"/>
      <c r="H516" s="16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5"/>
      <c r="D517" s="1"/>
      <c r="E517" s="15"/>
      <c r="F517" s="1"/>
      <c r="G517" s="5"/>
      <c r="H517" s="16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5"/>
      <c r="D518" s="1"/>
      <c r="E518" s="15"/>
      <c r="F518" s="1"/>
      <c r="G518" s="5"/>
      <c r="H518" s="16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5"/>
      <c r="D519" s="1"/>
      <c r="E519" s="15"/>
      <c r="F519" s="1"/>
      <c r="G519" s="5"/>
      <c r="H519" s="16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5"/>
      <c r="D520" s="1"/>
      <c r="E520" s="15"/>
      <c r="F520" s="1"/>
      <c r="G520" s="5"/>
      <c r="H520" s="16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5"/>
      <c r="D521" s="1"/>
      <c r="E521" s="15"/>
      <c r="F521" s="1"/>
      <c r="G521" s="5"/>
      <c r="H521" s="16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5"/>
      <c r="D522" s="1"/>
      <c r="E522" s="15"/>
      <c r="F522" s="1"/>
      <c r="G522" s="5"/>
      <c r="H522" s="16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5"/>
      <c r="D523" s="1"/>
      <c r="E523" s="15"/>
      <c r="F523" s="1"/>
      <c r="G523" s="5"/>
      <c r="H523" s="16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5"/>
      <c r="D524" s="1"/>
      <c r="E524" s="15"/>
      <c r="F524" s="1"/>
      <c r="G524" s="5"/>
      <c r="H524" s="16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5"/>
      <c r="D525" s="1"/>
      <c r="E525" s="15"/>
      <c r="F525" s="1"/>
      <c r="G525" s="5"/>
      <c r="H525" s="16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5"/>
      <c r="D526" s="1"/>
      <c r="E526" s="15"/>
      <c r="F526" s="1"/>
      <c r="G526" s="5"/>
      <c r="H526" s="16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5"/>
      <c r="D527" s="1"/>
      <c r="E527" s="15"/>
      <c r="F527" s="1"/>
      <c r="G527" s="5"/>
      <c r="H527" s="16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5"/>
      <c r="D528" s="1"/>
      <c r="E528" s="15"/>
      <c r="F528" s="1"/>
      <c r="G528" s="5"/>
      <c r="H528" s="16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5"/>
      <c r="D529" s="1"/>
      <c r="E529" s="15"/>
      <c r="F529" s="1"/>
      <c r="G529" s="5"/>
      <c r="H529" s="16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5"/>
      <c r="D530" s="1"/>
      <c r="E530" s="15"/>
      <c r="F530" s="1"/>
      <c r="G530" s="5"/>
      <c r="H530" s="16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5"/>
      <c r="D531" s="1"/>
      <c r="E531" s="15"/>
      <c r="F531" s="1"/>
      <c r="G531" s="5"/>
      <c r="H531" s="16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5"/>
      <c r="D532" s="1"/>
      <c r="E532" s="15"/>
      <c r="F532" s="1"/>
      <c r="G532" s="5"/>
      <c r="H532" s="16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5"/>
      <c r="D533" s="1"/>
      <c r="E533" s="15"/>
      <c r="F533" s="1"/>
      <c r="G533" s="5"/>
      <c r="H533" s="16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5"/>
      <c r="D534" s="1"/>
      <c r="E534" s="15"/>
      <c r="F534" s="1"/>
      <c r="G534" s="5"/>
      <c r="H534" s="16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5"/>
      <c r="D535" s="1"/>
      <c r="E535" s="15"/>
      <c r="F535" s="1"/>
      <c r="G535" s="5"/>
      <c r="H535" s="16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5"/>
      <c r="D536" s="1"/>
      <c r="E536" s="15"/>
      <c r="F536" s="1"/>
      <c r="G536" s="5"/>
      <c r="H536" s="16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5"/>
      <c r="D537" s="1"/>
      <c r="E537" s="15"/>
      <c r="F537" s="1"/>
      <c r="G537" s="5"/>
      <c r="H537" s="16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5"/>
      <c r="D538" s="1"/>
      <c r="E538" s="15"/>
      <c r="F538" s="1"/>
      <c r="G538" s="5"/>
      <c r="H538" s="16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5"/>
      <c r="D539" s="1"/>
      <c r="E539" s="15"/>
      <c r="F539" s="1"/>
      <c r="G539" s="5"/>
      <c r="H539" s="16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5"/>
      <c r="D540" s="1"/>
      <c r="E540" s="15"/>
      <c r="F540" s="1"/>
      <c r="G540" s="5"/>
      <c r="H540" s="16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5"/>
      <c r="D541" s="1"/>
      <c r="E541" s="15"/>
      <c r="F541" s="1"/>
      <c r="G541" s="5"/>
      <c r="H541" s="16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5"/>
      <c r="D542" s="1"/>
      <c r="E542" s="15"/>
      <c r="F542" s="1"/>
      <c r="G542" s="5"/>
      <c r="H542" s="16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5"/>
      <c r="D543" s="1"/>
      <c r="E543" s="15"/>
      <c r="F543" s="1"/>
      <c r="G543" s="5"/>
      <c r="H543" s="16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5"/>
      <c r="D544" s="1"/>
      <c r="E544" s="15"/>
      <c r="F544" s="1"/>
      <c r="G544" s="5"/>
      <c r="H544" s="16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5"/>
      <c r="D545" s="1"/>
      <c r="E545" s="15"/>
      <c r="F545" s="1"/>
      <c r="G545" s="5"/>
      <c r="H545" s="16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5"/>
      <c r="D546" s="1"/>
      <c r="E546" s="15"/>
      <c r="F546" s="1"/>
      <c r="G546" s="5"/>
      <c r="H546" s="16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5"/>
      <c r="D547" s="1"/>
      <c r="E547" s="15"/>
      <c r="F547" s="1"/>
      <c r="G547" s="5"/>
      <c r="H547" s="16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5"/>
      <c r="D548" s="1"/>
      <c r="E548" s="15"/>
      <c r="F548" s="1"/>
      <c r="G548" s="5"/>
      <c r="H548" s="16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5"/>
      <c r="D549" s="1"/>
      <c r="E549" s="15"/>
      <c r="F549" s="1"/>
      <c r="G549" s="5"/>
      <c r="H549" s="16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5"/>
      <c r="D550" s="1"/>
      <c r="E550" s="15"/>
      <c r="F550" s="1"/>
      <c r="G550" s="5"/>
      <c r="H550" s="16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5"/>
      <c r="D551" s="1"/>
      <c r="E551" s="15"/>
      <c r="F551" s="1"/>
      <c r="G551" s="5"/>
      <c r="H551" s="16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5"/>
      <c r="D552" s="1"/>
      <c r="E552" s="15"/>
      <c r="F552" s="1"/>
      <c r="G552" s="5"/>
      <c r="H552" s="16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5"/>
      <c r="D553" s="1"/>
      <c r="E553" s="15"/>
      <c r="F553" s="1"/>
      <c r="G553" s="5"/>
      <c r="H553" s="16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5"/>
      <c r="D554" s="1"/>
      <c r="E554" s="15"/>
      <c r="F554" s="1"/>
      <c r="G554" s="5"/>
      <c r="H554" s="16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5"/>
      <c r="D555" s="1"/>
      <c r="E555" s="15"/>
      <c r="F555" s="1"/>
      <c r="G555" s="5"/>
      <c r="H555" s="16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5"/>
      <c r="D556" s="1"/>
      <c r="E556" s="15"/>
      <c r="F556" s="1"/>
      <c r="G556" s="5"/>
      <c r="H556" s="16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5"/>
      <c r="D557" s="1"/>
      <c r="E557" s="15"/>
      <c r="F557" s="1"/>
      <c r="G557" s="5"/>
      <c r="H557" s="16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5"/>
      <c r="D558" s="1"/>
      <c r="E558" s="15"/>
      <c r="F558" s="1"/>
      <c r="G558" s="5"/>
      <c r="H558" s="16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5"/>
      <c r="D559" s="1"/>
      <c r="E559" s="15"/>
      <c r="F559" s="1"/>
      <c r="G559" s="5"/>
      <c r="H559" s="16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5"/>
      <c r="D560" s="1"/>
      <c r="E560" s="15"/>
      <c r="F560" s="1"/>
      <c r="G560" s="5"/>
      <c r="H560" s="16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5"/>
      <c r="D561" s="1"/>
      <c r="E561" s="15"/>
      <c r="F561" s="1"/>
      <c r="G561" s="5"/>
      <c r="H561" s="16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5"/>
      <c r="D562" s="1"/>
      <c r="E562" s="15"/>
      <c r="F562" s="1"/>
      <c r="G562" s="5"/>
      <c r="H562" s="16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5"/>
      <c r="D563" s="1"/>
      <c r="E563" s="15"/>
      <c r="F563" s="1"/>
      <c r="G563" s="5"/>
      <c r="H563" s="16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5"/>
      <c r="D564" s="1"/>
      <c r="E564" s="15"/>
      <c r="F564" s="1"/>
      <c r="G564" s="5"/>
      <c r="H564" s="16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5"/>
      <c r="D565" s="1"/>
      <c r="E565" s="15"/>
      <c r="F565" s="1"/>
      <c r="G565" s="5"/>
      <c r="H565" s="16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5"/>
      <c r="D566" s="1"/>
      <c r="E566" s="15"/>
      <c r="F566" s="1"/>
      <c r="G566" s="5"/>
      <c r="H566" s="16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5"/>
      <c r="D567" s="1"/>
      <c r="E567" s="15"/>
      <c r="F567" s="1"/>
      <c r="G567" s="5"/>
      <c r="H567" s="16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5"/>
      <c r="D568" s="1"/>
      <c r="E568" s="15"/>
      <c r="F568" s="1"/>
      <c r="G568" s="5"/>
      <c r="H568" s="16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5"/>
      <c r="D569" s="1"/>
      <c r="E569" s="15"/>
      <c r="F569" s="1"/>
      <c r="G569" s="5"/>
      <c r="H569" s="16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5"/>
      <c r="D570" s="1"/>
      <c r="E570" s="15"/>
      <c r="F570" s="1"/>
      <c r="G570" s="5"/>
      <c r="H570" s="16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5"/>
      <c r="D571" s="1"/>
      <c r="E571" s="15"/>
      <c r="F571" s="1"/>
      <c r="G571" s="5"/>
      <c r="H571" s="16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5"/>
      <c r="D572" s="1"/>
      <c r="E572" s="15"/>
      <c r="F572" s="1"/>
      <c r="G572" s="5"/>
      <c r="H572" s="16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5"/>
      <c r="D573" s="1"/>
      <c r="E573" s="15"/>
      <c r="F573" s="1"/>
      <c r="G573" s="5"/>
      <c r="H573" s="16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5"/>
      <c r="D574" s="1"/>
      <c r="E574" s="15"/>
      <c r="F574" s="1"/>
      <c r="G574" s="5"/>
      <c r="H574" s="16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5"/>
      <c r="D575" s="1"/>
      <c r="E575" s="15"/>
      <c r="F575" s="1"/>
      <c r="G575" s="5"/>
      <c r="H575" s="16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5"/>
      <c r="D576" s="1"/>
      <c r="E576" s="15"/>
      <c r="F576" s="1"/>
      <c r="G576" s="5"/>
      <c r="H576" s="16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5"/>
      <c r="D577" s="1"/>
      <c r="E577" s="15"/>
      <c r="F577" s="1"/>
      <c r="G577" s="5"/>
      <c r="H577" s="16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5"/>
      <c r="D578" s="1"/>
      <c r="E578" s="15"/>
      <c r="F578" s="1"/>
      <c r="G578" s="5"/>
      <c r="H578" s="16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5"/>
      <c r="D579" s="1"/>
      <c r="E579" s="15"/>
      <c r="F579" s="1"/>
      <c r="G579" s="5"/>
      <c r="H579" s="16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5"/>
      <c r="D580" s="1"/>
      <c r="E580" s="15"/>
      <c r="F580" s="1"/>
      <c r="G580" s="5"/>
      <c r="H580" s="16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5"/>
      <c r="D581" s="1"/>
      <c r="E581" s="15"/>
      <c r="F581" s="1"/>
      <c r="G581" s="5"/>
      <c r="H581" s="16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5"/>
      <c r="D582" s="1"/>
      <c r="E582" s="15"/>
      <c r="F582" s="1"/>
      <c r="G582" s="5"/>
      <c r="H582" s="16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5"/>
      <c r="D583" s="1"/>
      <c r="E583" s="15"/>
      <c r="F583" s="1"/>
      <c r="G583" s="5"/>
      <c r="H583" s="16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5"/>
      <c r="D584" s="1"/>
      <c r="E584" s="15"/>
      <c r="F584" s="1"/>
      <c r="G584" s="5"/>
      <c r="H584" s="16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5"/>
      <c r="D585" s="1"/>
      <c r="E585" s="15"/>
      <c r="F585" s="1"/>
      <c r="G585" s="5"/>
      <c r="H585" s="16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5"/>
      <c r="D586" s="1"/>
      <c r="E586" s="15"/>
      <c r="F586" s="1"/>
      <c r="G586" s="5"/>
      <c r="H586" s="16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5"/>
      <c r="D587" s="1"/>
      <c r="E587" s="15"/>
      <c r="F587" s="1"/>
      <c r="G587" s="5"/>
      <c r="H587" s="16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5"/>
      <c r="D588" s="1"/>
      <c r="E588" s="15"/>
      <c r="F588" s="1"/>
      <c r="G588" s="5"/>
      <c r="H588" s="16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5"/>
      <c r="D589" s="1"/>
      <c r="E589" s="15"/>
      <c r="F589" s="1"/>
      <c r="G589" s="5"/>
      <c r="H589" s="16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5"/>
      <c r="D590" s="1"/>
      <c r="E590" s="15"/>
      <c r="F590" s="1"/>
      <c r="G590" s="5"/>
      <c r="H590" s="16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5"/>
      <c r="D591" s="1"/>
      <c r="E591" s="15"/>
      <c r="F591" s="1"/>
      <c r="G591" s="5"/>
      <c r="H591" s="16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5"/>
      <c r="D592" s="1"/>
      <c r="E592" s="15"/>
      <c r="F592" s="1"/>
      <c r="G592" s="5"/>
      <c r="H592" s="16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5"/>
      <c r="D593" s="1"/>
      <c r="E593" s="15"/>
      <c r="F593" s="1"/>
      <c r="G593" s="5"/>
      <c r="H593" s="16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5"/>
      <c r="D594" s="1"/>
      <c r="E594" s="15"/>
      <c r="F594" s="1"/>
      <c r="G594" s="5"/>
      <c r="H594" s="16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5"/>
      <c r="D595" s="1"/>
      <c r="E595" s="15"/>
      <c r="F595" s="1"/>
      <c r="G595" s="5"/>
      <c r="H595" s="16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5"/>
      <c r="D596" s="1"/>
      <c r="E596" s="15"/>
      <c r="F596" s="1"/>
      <c r="G596" s="5"/>
      <c r="H596" s="16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5"/>
      <c r="D597" s="1"/>
      <c r="E597" s="15"/>
      <c r="F597" s="1"/>
      <c r="G597" s="5"/>
      <c r="H597" s="16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5"/>
      <c r="D598" s="1"/>
      <c r="E598" s="15"/>
      <c r="F598" s="1"/>
      <c r="G598" s="5"/>
      <c r="H598" s="16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5"/>
      <c r="D599" s="1"/>
      <c r="E599" s="15"/>
      <c r="F599" s="1"/>
      <c r="G599" s="5"/>
      <c r="H599" s="16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5"/>
      <c r="D600" s="1"/>
      <c r="E600" s="15"/>
      <c r="F600" s="1"/>
      <c r="G600" s="5"/>
      <c r="H600" s="16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5"/>
      <c r="D601" s="1"/>
      <c r="E601" s="15"/>
      <c r="F601" s="1"/>
      <c r="G601" s="5"/>
      <c r="H601" s="16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5"/>
      <c r="D602" s="1"/>
      <c r="E602" s="15"/>
      <c r="F602" s="1"/>
      <c r="G602" s="5"/>
      <c r="H602" s="16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5"/>
      <c r="D603" s="1"/>
      <c r="E603" s="15"/>
      <c r="F603" s="1"/>
      <c r="G603" s="5"/>
      <c r="H603" s="16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5"/>
      <c r="D604" s="1"/>
      <c r="E604" s="15"/>
      <c r="F604" s="1"/>
      <c r="G604" s="5"/>
      <c r="H604" s="16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5"/>
      <c r="D605" s="1"/>
      <c r="E605" s="15"/>
      <c r="F605" s="1"/>
      <c r="G605" s="5"/>
      <c r="H605" s="16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5"/>
      <c r="D606" s="1"/>
      <c r="E606" s="15"/>
      <c r="F606" s="1"/>
      <c r="G606" s="5"/>
      <c r="H606" s="16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5"/>
      <c r="D607" s="1"/>
      <c r="E607" s="15"/>
      <c r="F607" s="1"/>
      <c r="G607" s="5"/>
      <c r="H607" s="16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5"/>
      <c r="D608" s="1"/>
      <c r="E608" s="15"/>
      <c r="F608" s="1"/>
      <c r="G608" s="5"/>
      <c r="H608" s="16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5"/>
      <c r="D609" s="1"/>
      <c r="E609" s="15"/>
      <c r="F609" s="1"/>
      <c r="G609" s="5"/>
      <c r="H609" s="16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5"/>
      <c r="D610" s="1"/>
      <c r="E610" s="15"/>
      <c r="F610" s="1"/>
      <c r="G610" s="5"/>
      <c r="H610" s="16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5"/>
      <c r="D611" s="1"/>
      <c r="E611" s="15"/>
      <c r="F611" s="1"/>
      <c r="G611" s="5"/>
      <c r="H611" s="16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5"/>
      <c r="D612" s="1"/>
      <c r="E612" s="15"/>
      <c r="F612" s="1"/>
      <c r="G612" s="5"/>
      <c r="H612" s="16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5"/>
      <c r="D613" s="1"/>
      <c r="E613" s="15"/>
      <c r="F613" s="1"/>
      <c r="G613" s="5"/>
      <c r="H613" s="16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5"/>
      <c r="D614" s="1"/>
      <c r="E614" s="15"/>
      <c r="F614" s="1"/>
      <c r="G614" s="5"/>
      <c r="H614" s="16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5"/>
      <c r="D615" s="1"/>
      <c r="E615" s="15"/>
      <c r="F615" s="1"/>
      <c r="G615" s="5"/>
      <c r="H615" s="16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5"/>
      <c r="D616" s="1"/>
      <c r="E616" s="15"/>
      <c r="F616" s="1"/>
      <c r="G616" s="5"/>
      <c r="H616" s="16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5"/>
      <c r="D617" s="1"/>
      <c r="E617" s="15"/>
      <c r="F617" s="1"/>
      <c r="G617" s="5"/>
      <c r="H617" s="16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5"/>
      <c r="D618" s="1"/>
      <c r="E618" s="15"/>
      <c r="F618" s="1"/>
      <c r="G618" s="5"/>
      <c r="H618" s="16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5"/>
      <c r="D619" s="1"/>
      <c r="E619" s="15"/>
      <c r="F619" s="1"/>
      <c r="G619" s="5"/>
      <c r="H619" s="16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5"/>
      <c r="D620" s="1"/>
      <c r="E620" s="15"/>
      <c r="F620" s="1"/>
      <c r="G620" s="5"/>
      <c r="H620" s="16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5"/>
      <c r="D621" s="1"/>
      <c r="E621" s="15"/>
      <c r="F621" s="1"/>
      <c r="G621" s="5"/>
      <c r="H621" s="16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5"/>
      <c r="D622" s="1"/>
      <c r="E622" s="15"/>
      <c r="F622" s="1"/>
      <c r="G622" s="5"/>
      <c r="H622" s="16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5"/>
      <c r="D623" s="1"/>
      <c r="E623" s="15"/>
      <c r="F623" s="1"/>
      <c r="G623" s="5"/>
      <c r="H623" s="16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5"/>
      <c r="D624" s="1"/>
      <c r="E624" s="15"/>
      <c r="F624" s="1"/>
      <c r="G624" s="5"/>
      <c r="H624" s="16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5"/>
      <c r="D625" s="1"/>
      <c r="E625" s="15"/>
      <c r="F625" s="1"/>
      <c r="G625" s="5"/>
      <c r="H625" s="16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5"/>
      <c r="D626" s="1"/>
      <c r="E626" s="15"/>
      <c r="F626" s="1"/>
      <c r="G626" s="5"/>
      <c r="H626" s="16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5"/>
      <c r="D627" s="1"/>
      <c r="E627" s="15"/>
      <c r="F627" s="1"/>
      <c r="G627" s="5"/>
      <c r="H627" s="16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5"/>
      <c r="D628" s="1"/>
      <c r="E628" s="15"/>
      <c r="F628" s="1"/>
      <c r="G628" s="5"/>
      <c r="H628" s="16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5"/>
      <c r="D629" s="1"/>
      <c r="E629" s="15"/>
      <c r="F629" s="1"/>
      <c r="G629" s="5"/>
      <c r="H629" s="16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5"/>
      <c r="D630" s="1"/>
      <c r="E630" s="15"/>
      <c r="F630" s="1"/>
      <c r="G630" s="5"/>
      <c r="H630" s="16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5"/>
      <c r="D631" s="1"/>
      <c r="E631" s="15"/>
      <c r="F631" s="1"/>
      <c r="G631" s="5"/>
      <c r="H631" s="16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5"/>
      <c r="D632" s="1"/>
      <c r="E632" s="15"/>
      <c r="F632" s="1"/>
      <c r="G632" s="5"/>
      <c r="H632" s="16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5"/>
      <c r="D633" s="1"/>
      <c r="E633" s="15"/>
      <c r="F633" s="1"/>
      <c r="G633" s="5"/>
      <c r="H633" s="16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5"/>
      <c r="D634" s="1"/>
      <c r="E634" s="15"/>
      <c r="F634" s="1"/>
      <c r="G634" s="5"/>
      <c r="H634" s="16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5"/>
      <c r="D635" s="1"/>
      <c r="E635" s="15"/>
      <c r="F635" s="1"/>
      <c r="G635" s="5"/>
      <c r="H635" s="16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5"/>
      <c r="D636" s="1"/>
      <c r="E636" s="15"/>
      <c r="F636" s="1"/>
      <c r="G636" s="5"/>
      <c r="H636" s="16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5"/>
      <c r="D637" s="1"/>
      <c r="E637" s="15"/>
      <c r="F637" s="1"/>
      <c r="G637" s="5"/>
      <c r="H637" s="16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5"/>
      <c r="D638" s="1"/>
      <c r="E638" s="15"/>
      <c r="F638" s="1"/>
      <c r="G638" s="5"/>
      <c r="H638" s="16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5"/>
      <c r="D639" s="1"/>
      <c r="E639" s="15"/>
      <c r="F639" s="1"/>
      <c r="G639" s="5"/>
      <c r="H639" s="16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5"/>
      <c r="D640" s="1"/>
      <c r="E640" s="15"/>
      <c r="F640" s="1"/>
      <c r="G640" s="5"/>
      <c r="H640" s="16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5"/>
      <c r="D641" s="1"/>
      <c r="E641" s="15"/>
      <c r="F641" s="1"/>
      <c r="G641" s="5"/>
      <c r="H641" s="16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5"/>
      <c r="D642" s="1"/>
      <c r="E642" s="15"/>
      <c r="F642" s="1"/>
      <c r="G642" s="5"/>
      <c r="H642" s="16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5"/>
      <c r="D643" s="1"/>
      <c r="E643" s="15"/>
      <c r="F643" s="1"/>
      <c r="G643" s="5"/>
      <c r="H643" s="16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5"/>
      <c r="D644" s="1"/>
      <c r="E644" s="15"/>
      <c r="F644" s="1"/>
      <c r="G644" s="5"/>
      <c r="H644" s="16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5"/>
      <c r="D645" s="1"/>
      <c r="E645" s="15"/>
      <c r="F645" s="1"/>
      <c r="G645" s="5"/>
      <c r="H645" s="16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5"/>
      <c r="D646" s="1"/>
      <c r="E646" s="15"/>
      <c r="F646" s="1"/>
      <c r="G646" s="5"/>
      <c r="H646" s="16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5"/>
      <c r="D647" s="1"/>
      <c r="E647" s="15"/>
      <c r="F647" s="1"/>
      <c r="G647" s="5"/>
      <c r="H647" s="16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5"/>
      <c r="D648" s="1"/>
      <c r="E648" s="15"/>
      <c r="F648" s="1"/>
      <c r="G648" s="5"/>
      <c r="H648" s="16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5"/>
      <c r="D649" s="1"/>
      <c r="E649" s="15"/>
      <c r="F649" s="1"/>
      <c r="G649" s="5"/>
      <c r="H649" s="16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5"/>
      <c r="D650" s="1"/>
      <c r="E650" s="15"/>
      <c r="F650" s="1"/>
      <c r="G650" s="5"/>
      <c r="H650" s="16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5"/>
      <c r="D651" s="1"/>
      <c r="E651" s="15"/>
      <c r="F651" s="1"/>
      <c r="G651" s="5"/>
      <c r="H651" s="16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5"/>
      <c r="D652" s="1"/>
      <c r="E652" s="15"/>
      <c r="F652" s="1"/>
      <c r="G652" s="5"/>
      <c r="H652" s="16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5"/>
      <c r="D653" s="1"/>
      <c r="E653" s="15"/>
      <c r="F653" s="1"/>
      <c r="G653" s="5"/>
      <c r="H653" s="16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5"/>
      <c r="D654" s="1"/>
      <c r="E654" s="15"/>
      <c r="F654" s="1"/>
      <c r="G654" s="5"/>
      <c r="H654" s="16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5"/>
      <c r="D655" s="1"/>
      <c r="E655" s="15"/>
      <c r="F655" s="1"/>
      <c r="G655" s="5"/>
      <c r="H655" s="16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5"/>
      <c r="D656" s="1"/>
      <c r="E656" s="15"/>
      <c r="F656" s="1"/>
      <c r="G656" s="5"/>
      <c r="H656" s="16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5"/>
      <c r="D657" s="1"/>
      <c r="E657" s="15"/>
      <c r="F657" s="1"/>
      <c r="G657" s="5"/>
      <c r="H657" s="16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5"/>
      <c r="D658" s="1"/>
      <c r="E658" s="15"/>
      <c r="F658" s="1"/>
      <c r="G658" s="5"/>
      <c r="H658" s="16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5"/>
      <c r="D659" s="1"/>
      <c r="E659" s="15"/>
      <c r="F659" s="1"/>
      <c r="G659" s="5"/>
      <c r="H659" s="16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5"/>
      <c r="D660" s="1"/>
      <c r="E660" s="15"/>
      <c r="F660" s="1"/>
      <c r="G660" s="5"/>
      <c r="H660" s="16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5"/>
      <c r="D661" s="1"/>
      <c r="E661" s="15"/>
      <c r="F661" s="1"/>
      <c r="G661" s="5"/>
      <c r="H661" s="16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5"/>
      <c r="D662" s="1"/>
      <c r="E662" s="15"/>
      <c r="F662" s="1"/>
      <c r="G662" s="5"/>
      <c r="H662" s="16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5"/>
      <c r="D663" s="1"/>
      <c r="E663" s="15"/>
      <c r="F663" s="1"/>
      <c r="G663" s="5"/>
      <c r="H663" s="16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5"/>
      <c r="D664" s="1"/>
      <c r="E664" s="15"/>
      <c r="F664" s="1"/>
      <c r="G664" s="5"/>
      <c r="H664" s="16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5"/>
      <c r="D665" s="1"/>
      <c r="E665" s="15"/>
      <c r="F665" s="1"/>
      <c r="G665" s="5"/>
      <c r="H665" s="16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5"/>
      <c r="D666" s="1"/>
      <c r="E666" s="15"/>
      <c r="F666" s="1"/>
      <c r="G666" s="5"/>
      <c r="H666" s="16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5"/>
      <c r="D667" s="1"/>
      <c r="E667" s="15"/>
      <c r="F667" s="1"/>
      <c r="G667" s="5"/>
      <c r="H667" s="16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5"/>
      <c r="D668" s="1"/>
      <c r="E668" s="15"/>
      <c r="F668" s="1"/>
      <c r="G668" s="5"/>
      <c r="H668" s="16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5"/>
      <c r="D669" s="1"/>
      <c r="E669" s="15"/>
      <c r="F669" s="1"/>
      <c r="G669" s="5"/>
      <c r="H669" s="16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5"/>
      <c r="D670" s="1"/>
      <c r="E670" s="15"/>
      <c r="F670" s="1"/>
      <c r="G670" s="5"/>
      <c r="H670" s="16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5"/>
      <c r="D671" s="1"/>
      <c r="E671" s="15"/>
      <c r="F671" s="1"/>
      <c r="G671" s="5"/>
      <c r="H671" s="16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5"/>
      <c r="D672" s="1"/>
      <c r="E672" s="15"/>
      <c r="F672" s="1"/>
      <c r="G672" s="5"/>
      <c r="H672" s="16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5"/>
      <c r="D673" s="1"/>
      <c r="E673" s="15"/>
      <c r="F673" s="1"/>
      <c r="G673" s="5"/>
      <c r="H673" s="16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5"/>
      <c r="D674" s="1"/>
      <c r="E674" s="15"/>
      <c r="F674" s="1"/>
      <c r="G674" s="5"/>
      <c r="H674" s="16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5"/>
      <c r="D675" s="1"/>
      <c r="E675" s="15"/>
      <c r="F675" s="1"/>
      <c r="G675" s="5"/>
      <c r="H675" s="16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5"/>
      <c r="D676" s="1"/>
      <c r="E676" s="15"/>
      <c r="F676" s="1"/>
      <c r="G676" s="5"/>
      <c r="H676" s="16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5"/>
      <c r="D677" s="1"/>
      <c r="E677" s="15"/>
      <c r="F677" s="1"/>
      <c r="G677" s="5"/>
      <c r="H677" s="16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5"/>
      <c r="D678" s="1"/>
      <c r="E678" s="15"/>
      <c r="F678" s="1"/>
      <c r="G678" s="5"/>
      <c r="H678" s="16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5"/>
      <c r="D679" s="1"/>
      <c r="E679" s="15"/>
      <c r="F679" s="1"/>
      <c r="G679" s="5"/>
      <c r="H679" s="16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5"/>
      <c r="D680" s="1"/>
      <c r="E680" s="15"/>
      <c r="F680" s="1"/>
      <c r="G680" s="5"/>
      <c r="H680" s="16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5"/>
      <c r="D681" s="1"/>
      <c r="E681" s="15"/>
      <c r="F681" s="1"/>
      <c r="G681" s="5"/>
      <c r="H681" s="16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5"/>
      <c r="D682" s="1"/>
      <c r="E682" s="15"/>
      <c r="F682" s="1"/>
      <c r="G682" s="5"/>
      <c r="H682" s="16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5"/>
      <c r="D683" s="1"/>
      <c r="E683" s="15"/>
      <c r="F683" s="1"/>
      <c r="G683" s="5"/>
      <c r="H683" s="16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5"/>
      <c r="D684" s="1"/>
      <c r="E684" s="15"/>
      <c r="F684" s="1"/>
      <c r="G684" s="5"/>
      <c r="H684" s="16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5"/>
      <c r="D685" s="1"/>
      <c r="E685" s="15"/>
      <c r="F685" s="1"/>
      <c r="G685" s="5"/>
      <c r="H685" s="16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5"/>
      <c r="D686" s="1"/>
      <c r="E686" s="15"/>
      <c r="F686" s="1"/>
      <c r="G686" s="5"/>
      <c r="H686" s="16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5"/>
      <c r="D687" s="1"/>
      <c r="E687" s="15"/>
      <c r="F687" s="1"/>
      <c r="G687" s="5"/>
      <c r="H687" s="16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5"/>
      <c r="D688" s="1"/>
      <c r="E688" s="15"/>
      <c r="F688" s="1"/>
      <c r="G688" s="5"/>
      <c r="H688" s="16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5"/>
      <c r="D689" s="1"/>
      <c r="E689" s="15"/>
      <c r="F689" s="1"/>
      <c r="G689" s="5"/>
      <c r="H689" s="16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5"/>
      <c r="D690" s="1"/>
      <c r="E690" s="15"/>
      <c r="F690" s="1"/>
      <c r="G690" s="5"/>
      <c r="H690" s="16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5"/>
      <c r="D691" s="1"/>
      <c r="E691" s="15"/>
      <c r="F691" s="1"/>
      <c r="G691" s="5"/>
      <c r="H691" s="16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5"/>
      <c r="D692" s="1"/>
      <c r="E692" s="15"/>
      <c r="F692" s="1"/>
      <c r="G692" s="5"/>
      <c r="H692" s="16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5"/>
      <c r="D693" s="1"/>
      <c r="E693" s="15"/>
      <c r="F693" s="1"/>
      <c r="G693" s="5"/>
      <c r="H693" s="16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5"/>
      <c r="D694" s="1"/>
      <c r="E694" s="15"/>
      <c r="F694" s="1"/>
      <c r="G694" s="5"/>
      <c r="H694" s="16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5"/>
      <c r="D695" s="1"/>
      <c r="E695" s="15"/>
      <c r="F695" s="1"/>
      <c r="G695" s="5"/>
      <c r="H695" s="16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5"/>
      <c r="D696" s="1"/>
      <c r="E696" s="15"/>
      <c r="F696" s="1"/>
      <c r="G696" s="5"/>
      <c r="H696" s="16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5"/>
      <c r="D697" s="1"/>
      <c r="E697" s="15"/>
      <c r="F697" s="1"/>
      <c r="G697" s="5"/>
      <c r="H697" s="16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5"/>
      <c r="D698" s="1"/>
      <c r="E698" s="15"/>
      <c r="F698" s="1"/>
      <c r="G698" s="5"/>
      <c r="H698" s="16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5"/>
      <c r="D699" s="1"/>
      <c r="E699" s="15"/>
      <c r="F699" s="1"/>
      <c r="G699" s="5"/>
      <c r="H699" s="16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5"/>
      <c r="D700" s="1"/>
      <c r="E700" s="15"/>
      <c r="F700" s="1"/>
      <c r="G700" s="5"/>
      <c r="H700" s="16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5"/>
      <c r="D701" s="1"/>
      <c r="E701" s="15"/>
      <c r="F701" s="1"/>
      <c r="G701" s="5"/>
      <c r="H701" s="16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5"/>
      <c r="D702" s="1"/>
      <c r="E702" s="15"/>
      <c r="F702" s="1"/>
      <c r="G702" s="5"/>
      <c r="H702" s="16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5"/>
      <c r="D703" s="1"/>
      <c r="E703" s="15"/>
      <c r="F703" s="1"/>
      <c r="G703" s="5"/>
      <c r="H703" s="16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5"/>
      <c r="D704" s="1"/>
      <c r="E704" s="15"/>
      <c r="F704" s="1"/>
      <c r="G704" s="5"/>
      <c r="H704" s="16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5"/>
      <c r="D705" s="1"/>
      <c r="E705" s="15"/>
      <c r="F705" s="1"/>
      <c r="G705" s="5"/>
      <c r="H705" s="16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5"/>
      <c r="D706" s="1"/>
      <c r="E706" s="15"/>
      <c r="F706" s="1"/>
      <c r="G706" s="5"/>
      <c r="H706" s="16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5"/>
      <c r="D707" s="1"/>
      <c r="E707" s="15"/>
      <c r="F707" s="1"/>
      <c r="G707" s="5"/>
      <c r="H707" s="16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5"/>
      <c r="D708" s="1"/>
      <c r="E708" s="15"/>
      <c r="F708" s="1"/>
      <c r="G708" s="5"/>
      <c r="H708" s="16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5"/>
      <c r="D709" s="1"/>
      <c r="E709" s="15"/>
      <c r="F709" s="1"/>
      <c r="G709" s="5"/>
      <c r="H709" s="16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5"/>
      <c r="D710" s="1"/>
      <c r="E710" s="15"/>
      <c r="F710" s="1"/>
      <c r="G710" s="5"/>
      <c r="H710" s="16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5"/>
      <c r="D711" s="1"/>
      <c r="E711" s="15"/>
      <c r="F711" s="1"/>
      <c r="G711" s="5"/>
      <c r="H711" s="16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5"/>
      <c r="D712" s="1"/>
      <c r="E712" s="15"/>
      <c r="F712" s="1"/>
      <c r="G712" s="5"/>
      <c r="H712" s="16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5"/>
      <c r="D713" s="1"/>
      <c r="E713" s="15"/>
      <c r="F713" s="1"/>
      <c r="G713" s="5"/>
      <c r="H713" s="16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5"/>
      <c r="D714" s="1"/>
      <c r="E714" s="15"/>
      <c r="F714" s="1"/>
      <c r="G714" s="5"/>
      <c r="H714" s="16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5"/>
      <c r="D715" s="1"/>
      <c r="E715" s="15"/>
      <c r="F715" s="1"/>
      <c r="G715" s="5"/>
      <c r="H715" s="16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5"/>
      <c r="D716" s="1"/>
      <c r="E716" s="15"/>
      <c r="F716" s="1"/>
      <c r="G716" s="5"/>
      <c r="H716" s="16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5"/>
      <c r="D717" s="1"/>
      <c r="E717" s="15"/>
      <c r="F717" s="1"/>
      <c r="G717" s="5"/>
      <c r="H717" s="16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5"/>
      <c r="D718" s="1"/>
      <c r="E718" s="15"/>
      <c r="F718" s="1"/>
      <c r="G718" s="5"/>
      <c r="H718" s="16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5"/>
      <c r="D719" s="1"/>
      <c r="E719" s="15"/>
      <c r="F719" s="1"/>
      <c r="G719" s="5"/>
      <c r="H719" s="16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5"/>
      <c r="D720" s="1"/>
      <c r="E720" s="15"/>
      <c r="F720" s="1"/>
      <c r="G720" s="5"/>
      <c r="H720" s="16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5"/>
      <c r="D721" s="1"/>
      <c r="E721" s="15"/>
      <c r="F721" s="1"/>
      <c r="G721" s="5"/>
      <c r="H721" s="16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5"/>
      <c r="D722" s="1"/>
      <c r="E722" s="15"/>
      <c r="F722" s="1"/>
      <c r="G722" s="5"/>
      <c r="H722" s="16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5"/>
      <c r="D723" s="1"/>
      <c r="E723" s="15"/>
      <c r="F723" s="1"/>
      <c r="G723" s="5"/>
      <c r="H723" s="16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5"/>
      <c r="D724" s="1"/>
      <c r="E724" s="15"/>
      <c r="F724" s="1"/>
      <c r="G724" s="5"/>
      <c r="H724" s="16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5"/>
      <c r="D725" s="1"/>
      <c r="E725" s="15"/>
      <c r="F725" s="1"/>
      <c r="G725" s="5"/>
      <c r="H725" s="16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5"/>
      <c r="D726" s="1"/>
      <c r="E726" s="15"/>
      <c r="F726" s="1"/>
      <c r="G726" s="5"/>
      <c r="H726" s="16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5"/>
      <c r="D727" s="1"/>
      <c r="E727" s="15"/>
      <c r="F727" s="1"/>
      <c r="G727" s="5"/>
      <c r="H727" s="16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5"/>
      <c r="D728" s="1"/>
      <c r="E728" s="15"/>
      <c r="F728" s="1"/>
      <c r="G728" s="5"/>
      <c r="H728" s="16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5"/>
      <c r="D729" s="1"/>
      <c r="E729" s="15"/>
      <c r="F729" s="1"/>
      <c r="G729" s="5"/>
      <c r="H729" s="16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5"/>
      <c r="D730" s="1"/>
      <c r="E730" s="15"/>
      <c r="F730" s="1"/>
      <c r="G730" s="5"/>
      <c r="H730" s="16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5"/>
      <c r="D731" s="1"/>
      <c r="E731" s="15"/>
      <c r="F731" s="1"/>
      <c r="G731" s="5"/>
      <c r="H731" s="16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5"/>
      <c r="D732" s="1"/>
      <c r="E732" s="15"/>
      <c r="F732" s="1"/>
      <c r="G732" s="5"/>
      <c r="H732" s="16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5"/>
      <c r="D733" s="1"/>
      <c r="E733" s="15"/>
      <c r="F733" s="1"/>
      <c r="G733" s="5"/>
      <c r="H733" s="16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5"/>
      <c r="D734" s="1"/>
      <c r="E734" s="15"/>
      <c r="F734" s="1"/>
      <c r="G734" s="5"/>
      <c r="H734" s="16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5"/>
      <c r="D735" s="1"/>
      <c r="E735" s="15"/>
      <c r="F735" s="1"/>
      <c r="G735" s="5"/>
      <c r="H735" s="16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5"/>
      <c r="D736" s="1"/>
      <c r="E736" s="15"/>
      <c r="F736" s="1"/>
      <c r="G736" s="5"/>
      <c r="H736" s="16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5"/>
      <c r="D737" s="1"/>
      <c r="E737" s="15"/>
      <c r="F737" s="1"/>
      <c r="G737" s="5"/>
      <c r="H737" s="16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5"/>
      <c r="D738" s="1"/>
      <c r="E738" s="15"/>
      <c r="F738" s="1"/>
      <c r="G738" s="5"/>
      <c r="H738" s="16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5"/>
      <c r="D739" s="1"/>
      <c r="E739" s="15"/>
      <c r="F739" s="1"/>
      <c r="G739" s="5"/>
      <c r="H739" s="16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5"/>
      <c r="D740" s="1"/>
      <c r="E740" s="15"/>
      <c r="F740" s="1"/>
      <c r="G740" s="5"/>
      <c r="H740" s="16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5"/>
      <c r="D741" s="1"/>
      <c r="E741" s="15"/>
      <c r="F741" s="1"/>
      <c r="G741" s="5"/>
      <c r="H741" s="16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5"/>
      <c r="D742" s="1"/>
      <c r="E742" s="15"/>
      <c r="F742" s="1"/>
      <c r="G742" s="5"/>
      <c r="H742" s="16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5"/>
      <c r="D743" s="1"/>
      <c r="E743" s="15"/>
      <c r="F743" s="1"/>
      <c r="G743" s="5"/>
      <c r="H743" s="16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5"/>
      <c r="D744" s="1"/>
      <c r="E744" s="15"/>
      <c r="F744" s="1"/>
      <c r="G744" s="5"/>
      <c r="H744" s="16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5"/>
      <c r="D745" s="1"/>
      <c r="E745" s="15"/>
      <c r="F745" s="1"/>
      <c r="G745" s="5"/>
      <c r="H745" s="16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5"/>
      <c r="D746" s="1"/>
      <c r="E746" s="15"/>
      <c r="F746" s="1"/>
      <c r="G746" s="5"/>
      <c r="H746" s="16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5"/>
      <c r="D747" s="1"/>
      <c r="E747" s="15"/>
      <c r="F747" s="1"/>
      <c r="G747" s="5"/>
      <c r="H747" s="16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5"/>
      <c r="D748" s="1"/>
      <c r="E748" s="15"/>
      <c r="F748" s="1"/>
      <c r="G748" s="5"/>
      <c r="H748" s="16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5"/>
      <c r="D749" s="1"/>
      <c r="E749" s="15"/>
      <c r="F749" s="1"/>
      <c r="G749" s="5"/>
      <c r="H749" s="16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5"/>
      <c r="D750" s="1"/>
      <c r="E750" s="15"/>
      <c r="F750" s="1"/>
      <c r="G750" s="5"/>
      <c r="H750" s="16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5"/>
      <c r="D751" s="1"/>
      <c r="E751" s="15"/>
      <c r="F751" s="1"/>
      <c r="G751" s="5"/>
      <c r="H751" s="16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5"/>
      <c r="D752" s="1"/>
      <c r="E752" s="15"/>
      <c r="F752" s="1"/>
      <c r="G752" s="5"/>
      <c r="H752" s="16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5"/>
      <c r="D753" s="1"/>
      <c r="E753" s="15"/>
      <c r="F753" s="1"/>
      <c r="G753" s="5"/>
      <c r="H753" s="16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5"/>
      <c r="D754" s="1"/>
      <c r="E754" s="15"/>
      <c r="F754" s="1"/>
      <c r="G754" s="5"/>
      <c r="H754" s="16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5"/>
      <c r="D755" s="1"/>
      <c r="E755" s="15"/>
      <c r="F755" s="1"/>
      <c r="G755" s="5"/>
      <c r="H755" s="16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5"/>
      <c r="D756" s="1"/>
      <c r="E756" s="15"/>
      <c r="F756" s="1"/>
      <c r="G756" s="5"/>
      <c r="H756" s="16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5"/>
      <c r="D757" s="1"/>
      <c r="E757" s="15"/>
      <c r="F757" s="1"/>
      <c r="G757" s="5"/>
      <c r="H757" s="16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5"/>
      <c r="D758" s="1"/>
      <c r="E758" s="15"/>
      <c r="F758" s="1"/>
      <c r="G758" s="5"/>
      <c r="H758" s="16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5"/>
      <c r="D759" s="1"/>
      <c r="E759" s="15"/>
      <c r="F759" s="1"/>
      <c r="G759" s="5"/>
      <c r="H759" s="16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5"/>
      <c r="D760" s="1"/>
      <c r="E760" s="15"/>
      <c r="F760" s="1"/>
      <c r="G760" s="5"/>
      <c r="H760" s="16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5"/>
      <c r="D761" s="1"/>
      <c r="E761" s="15"/>
      <c r="F761" s="1"/>
      <c r="G761" s="5"/>
      <c r="H761" s="16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5"/>
      <c r="D762" s="1"/>
      <c r="E762" s="15"/>
      <c r="F762" s="1"/>
      <c r="G762" s="5"/>
      <c r="H762" s="16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5"/>
      <c r="D763" s="1"/>
      <c r="E763" s="15"/>
      <c r="F763" s="1"/>
      <c r="G763" s="5"/>
      <c r="H763" s="16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5"/>
      <c r="D764" s="1"/>
      <c r="E764" s="15"/>
      <c r="F764" s="1"/>
      <c r="G764" s="5"/>
      <c r="H764" s="16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5"/>
      <c r="D765" s="1"/>
      <c r="E765" s="15"/>
      <c r="F765" s="1"/>
      <c r="G765" s="5"/>
      <c r="H765" s="16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5"/>
      <c r="D766" s="1"/>
      <c r="E766" s="15"/>
      <c r="F766" s="1"/>
      <c r="G766" s="5"/>
      <c r="H766" s="16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5"/>
      <c r="D767" s="1"/>
      <c r="E767" s="15"/>
      <c r="F767" s="1"/>
      <c r="G767" s="5"/>
      <c r="H767" s="16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5"/>
      <c r="D768" s="1"/>
      <c r="E768" s="15"/>
      <c r="F768" s="1"/>
      <c r="G768" s="5"/>
      <c r="H768" s="16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5"/>
      <c r="D769" s="1"/>
      <c r="E769" s="15"/>
      <c r="F769" s="1"/>
      <c r="G769" s="5"/>
      <c r="H769" s="16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5"/>
      <c r="D770" s="1"/>
      <c r="E770" s="15"/>
      <c r="F770" s="1"/>
      <c r="G770" s="5"/>
      <c r="H770" s="16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5"/>
      <c r="D771" s="1"/>
      <c r="E771" s="15"/>
      <c r="F771" s="1"/>
      <c r="G771" s="5"/>
      <c r="H771" s="16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5"/>
      <c r="D772" s="1"/>
      <c r="E772" s="15"/>
      <c r="F772" s="1"/>
      <c r="G772" s="5"/>
      <c r="H772" s="16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5"/>
      <c r="D773" s="1"/>
      <c r="E773" s="15"/>
      <c r="F773" s="1"/>
      <c r="G773" s="5"/>
      <c r="H773" s="16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5"/>
      <c r="D774" s="1"/>
      <c r="E774" s="15"/>
      <c r="F774" s="1"/>
      <c r="G774" s="5"/>
      <c r="H774" s="16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5"/>
      <c r="D775" s="1"/>
      <c r="E775" s="15"/>
      <c r="F775" s="1"/>
      <c r="G775" s="5"/>
      <c r="H775" s="16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5"/>
      <c r="D776" s="1"/>
      <c r="E776" s="15"/>
      <c r="F776" s="1"/>
      <c r="G776" s="5"/>
      <c r="H776" s="16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5"/>
      <c r="D777" s="1"/>
      <c r="E777" s="15"/>
      <c r="F777" s="1"/>
      <c r="G777" s="5"/>
      <c r="H777" s="16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5"/>
      <c r="D778" s="1"/>
      <c r="E778" s="15"/>
      <c r="F778" s="1"/>
      <c r="G778" s="5"/>
      <c r="H778" s="16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5"/>
      <c r="D779" s="1"/>
      <c r="E779" s="15"/>
      <c r="F779" s="1"/>
      <c r="G779" s="5"/>
      <c r="H779" s="16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5"/>
      <c r="D780" s="1"/>
      <c r="E780" s="15"/>
      <c r="F780" s="1"/>
      <c r="G780" s="5"/>
      <c r="H780" s="16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5"/>
      <c r="D781" s="1"/>
      <c r="E781" s="15"/>
      <c r="F781" s="1"/>
      <c r="G781" s="5"/>
      <c r="H781" s="16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5"/>
      <c r="D782" s="1"/>
      <c r="E782" s="15"/>
      <c r="F782" s="1"/>
      <c r="G782" s="5"/>
      <c r="H782" s="16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5"/>
      <c r="D783" s="1"/>
      <c r="E783" s="15"/>
      <c r="F783" s="1"/>
      <c r="G783" s="5"/>
      <c r="H783" s="16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5"/>
      <c r="D784" s="1"/>
      <c r="E784" s="15"/>
      <c r="F784" s="1"/>
      <c r="G784" s="5"/>
      <c r="H784" s="16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5"/>
      <c r="D785" s="1"/>
      <c r="E785" s="15"/>
      <c r="F785" s="1"/>
      <c r="G785" s="5"/>
      <c r="H785" s="16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5"/>
      <c r="D786" s="1"/>
      <c r="E786" s="15"/>
      <c r="F786" s="1"/>
      <c r="G786" s="5"/>
      <c r="H786" s="16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5"/>
      <c r="D787" s="1"/>
      <c r="E787" s="15"/>
      <c r="F787" s="1"/>
      <c r="G787" s="5"/>
      <c r="H787" s="16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5"/>
      <c r="D788" s="1"/>
      <c r="E788" s="15"/>
      <c r="F788" s="1"/>
      <c r="G788" s="5"/>
      <c r="H788" s="16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5"/>
      <c r="D789" s="1"/>
      <c r="E789" s="15"/>
      <c r="F789" s="1"/>
      <c r="G789" s="5"/>
      <c r="H789" s="16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5"/>
      <c r="D790" s="1"/>
      <c r="E790" s="15"/>
      <c r="F790" s="1"/>
      <c r="G790" s="5"/>
      <c r="H790" s="16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5"/>
      <c r="D791" s="1"/>
      <c r="E791" s="15"/>
      <c r="F791" s="1"/>
      <c r="G791" s="5"/>
      <c r="H791" s="16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5"/>
      <c r="D792" s="1"/>
      <c r="E792" s="15"/>
      <c r="F792" s="1"/>
      <c r="G792" s="5"/>
      <c r="H792" s="16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5"/>
      <c r="D793" s="1"/>
      <c r="E793" s="15"/>
      <c r="F793" s="1"/>
      <c r="G793" s="5"/>
      <c r="H793" s="16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5"/>
      <c r="D794" s="1"/>
      <c r="E794" s="15"/>
      <c r="F794" s="1"/>
      <c r="G794" s="5"/>
      <c r="H794" s="16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5"/>
      <c r="D795" s="1"/>
      <c r="E795" s="15"/>
      <c r="F795" s="1"/>
      <c r="G795" s="5"/>
      <c r="H795" s="16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5"/>
      <c r="D796" s="1"/>
      <c r="E796" s="15"/>
      <c r="F796" s="1"/>
      <c r="G796" s="5"/>
      <c r="H796" s="16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5"/>
      <c r="D797" s="1"/>
      <c r="E797" s="15"/>
      <c r="F797" s="1"/>
      <c r="G797" s="5"/>
      <c r="H797" s="16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5"/>
      <c r="D798" s="1"/>
      <c r="E798" s="15"/>
      <c r="F798" s="1"/>
      <c r="G798" s="5"/>
      <c r="H798" s="16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5"/>
      <c r="D799" s="1"/>
      <c r="E799" s="15"/>
      <c r="F799" s="1"/>
      <c r="G799" s="5"/>
      <c r="H799" s="16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5"/>
      <c r="D800" s="1"/>
      <c r="E800" s="15"/>
      <c r="F800" s="1"/>
      <c r="G800" s="5"/>
      <c r="H800" s="16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5"/>
      <c r="D801" s="1"/>
      <c r="E801" s="15"/>
      <c r="F801" s="1"/>
      <c r="G801" s="5"/>
      <c r="H801" s="16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5"/>
      <c r="D802" s="1"/>
      <c r="E802" s="15"/>
      <c r="F802" s="1"/>
      <c r="G802" s="5"/>
      <c r="H802" s="16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5"/>
      <c r="D803" s="1"/>
      <c r="E803" s="15"/>
      <c r="F803" s="1"/>
      <c r="G803" s="5"/>
      <c r="H803" s="16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5"/>
      <c r="D804" s="1"/>
      <c r="E804" s="15"/>
      <c r="F804" s="1"/>
      <c r="G804" s="5"/>
      <c r="H804" s="16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5"/>
      <c r="D805" s="1"/>
      <c r="E805" s="15"/>
      <c r="F805" s="1"/>
      <c r="G805" s="5"/>
      <c r="H805" s="16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5"/>
      <c r="D806" s="1"/>
      <c r="E806" s="15"/>
      <c r="F806" s="1"/>
      <c r="G806" s="5"/>
      <c r="H806" s="16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5"/>
      <c r="D807" s="1"/>
      <c r="E807" s="15"/>
      <c r="F807" s="1"/>
      <c r="G807" s="5"/>
      <c r="H807" s="16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5"/>
      <c r="D808" s="1"/>
      <c r="E808" s="15"/>
      <c r="F808" s="1"/>
      <c r="G808" s="5"/>
      <c r="H808" s="16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5"/>
      <c r="D809" s="1"/>
      <c r="E809" s="15"/>
      <c r="F809" s="1"/>
      <c r="G809" s="5"/>
      <c r="H809" s="16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5"/>
      <c r="D810" s="1"/>
      <c r="E810" s="15"/>
      <c r="F810" s="1"/>
      <c r="G810" s="5"/>
      <c r="H810" s="16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5"/>
      <c r="D811" s="1"/>
      <c r="E811" s="15"/>
      <c r="F811" s="1"/>
      <c r="G811" s="5"/>
      <c r="H811" s="16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5"/>
      <c r="D812" s="1"/>
      <c r="E812" s="15"/>
      <c r="F812" s="1"/>
      <c r="G812" s="5"/>
      <c r="H812" s="16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5"/>
      <c r="D813" s="1"/>
      <c r="E813" s="15"/>
      <c r="F813" s="1"/>
      <c r="G813" s="5"/>
      <c r="H813" s="16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5"/>
      <c r="D814" s="1"/>
      <c r="E814" s="15"/>
      <c r="F814" s="1"/>
      <c r="G814" s="5"/>
      <c r="H814" s="16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5"/>
      <c r="D815" s="1"/>
      <c r="E815" s="15"/>
      <c r="F815" s="1"/>
      <c r="G815" s="5"/>
      <c r="H815" s="16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5"/>
      <c r="D816" s="1"/>
      <c r="E816" s="15"/>
      <c r="F816" s="1"/>
      <c r="G816" s="5"/>
      <c r="H816" s="16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5"/>
      <c r="D817" s="1"/>
      <c r="E817" s="15"/>
      <c r="F817" s="1"/>
      <c r="G817" s="5"/>
      <c r="H817" s="16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5"/>
      <c r="D818" s="1"/>
      <c r="E818" s="15"/>
      <c r="F818" s="1"/>
      <c r="G818" s="5"/>
      <c r="H818" s="16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5"/>
      <c r="D819" s="1"/>
      <c r="E819" s="15"/>
      <c r="F819" s="1"/>
      <c r="G819" s="5"/>
      <c r="H819" s="16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5"/>
      <c r="D820" s="1"/>
      <c r="E820" s="15"/>
      <c r="F820" s="1"/>
      <c r="G820" s="5"/>
      <c r="H820" s="16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5"/>
      <c r="D821" s="1"/>
      <c r="E821" s="15"/>
      <c r="F821" s="1"/>
      <c r="G821" s="5"/>
      <c r="H821" s="16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5"/>
      <c r="D822" s="1"/>
      <c r="E822" s="15"/>
      <c r="F822" s="1"/>
      <c r="G822" s="5"/>
      <c r="H822" s="16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5"/>
      <c r="D823" s="1"/>
      <c r="E823" s="15"/>
      <c r="F823" s="1"/>
      <c r="G823" s="5"/>
      <c r="H823" s="16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5"/>
      <c r="D824" s="1"/>
      <c r="E824" s="15"/>
      <c r="F824" s="1"/>
      <c r="G824" s="5"/>
      <c r="H824" s="16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5"/>
      <c r="D825" s="1"/>
      <c r="E825" s="15"/>
      <c r="F825" s="1"/>
      <c r="G825" s="5"/>
      <c r="H825" s="16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5"/>
      <c r="D826" s="1"/>
      <c r="E826" s="15"/>
      <c r="F826" s="1"/>
      <c r="G826" s="5"/>
      <c r="H826" s="16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5"/>
      <c r="D827" s="1"/>
      <c r="E827" s="15"/>
      <c r="F827" s="1"/>
      <c r="G827" s="5"/>
      <c r="H827" s="16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5"/>
      <c r="D828" s="1"/>
      <c r="E828" s="15"/>
      <c r="F828" s="1"/>
      <c r="G828" s="5"/>
      <c r="H828" s="16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5"/>
      <c r="D829" s="1"/>
      <c r="E829" s="15"/>
      <c r="F829" s="1"/>
      <c r="G829" s="5"/>
      <c r="H829" s="16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5"/>
      <c r="D830" s="1"/>
      <c r="E830" s="15"/>
      <c r="F830" s="1"/>
      <c r="G830" s="5"/>
      <c r="H830" s="16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5"/>
      <c r="D831" s="1"/>
      <c r="E831" s="15"/>
      <c r="F831" s="1"/>
      <c r="G831" s="5"/>
      <c r="H831" s="16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5"/>
      <c r="D832" s="1"/>
      <c r="E832" s="15"/>
      <c r="F832" s="1"/>
      <c r="G832" s="5"/>
      <c r="H832" s="16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5"/>
      <c r="D833" s="1"/>
      <c r="E833" s="15"/>
      <c r="F833" s="1"/>
      <c r="G833" s="5"/>
      <c r="H833" s="16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5"/>
      <c r="D834" s="1"/>
      <c r="E834" s="15"/>
      <c r="F834" s="1"/>
      <c r="G834" s="5"/>
      <c r="H834" s="16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5"/>
      <c r="D835" s="1"/>
      <c r="E835" s="15"/>
      <c r="F835" s="1"/>
      <c r="G835" s="5"/>
      <c r="H835" s="16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5"/>
      <c r="D836" s="1"/>
      <c r="E836" s="15"/>
      <c r="F836" s="1"/>
      <c r="G836" s="5"/>
      <c r="H836" s="16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5"/>
      <c r="D837" s="1"/>
      <c r="E837" s="15"/>
      <c r="F837" s="1"/>
      <c r="G837" s="5"/>
      <c r="H837" s="16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5"/>
      <c r="D838" s="1"/>
      <c r="E838" s="15"/>
      <c r="F838" s="1"/>
      <c r="G838" s="5"/>
      <c r="H838" s="16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5"/>
      <c r="D839" s="1"/>
      <c r="E839" s="15"/>
      <c r="F839" s="1"/>
      <c r="G839" s="5"/>
      <c r="H839" s="16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5"/>
      <c r="D840" s="1"/>
      <c r="E840" s="15"/>
      <c r="F840" s="1"/>
      <c r="G840" s="5"/>
      <c r="H840" s="16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5"/>
      <c r="D841" s="1"/>
      <c r="E841" s="15"/>
      <c r="F841" s="1"/>
      <c r="G841" s="5"/>
      <c r="H841" s="16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5"/>
      <c r="D842" s="1"/>
      <c r="E842" s="15"/>
      <c r="F842" s="1"/>
      <c r="G842" s="5"/>
      <c r="H842" s="16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5"/>
      <c r="D843" s="1"/>
      <c r="E843" s="15"/>
      <c r="F843" s="1"/>
      <c r="G843" s="5"/>
      <c r="H843" s="16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5"/>
      <c r="D844" s="1"/>
      <c r="E844" s="15"/>
      <c r="F844" s="1"/>
      <c r="G844" s="5"/>
      <c r="H844" s="16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5"/>
      <c r="D845" s="1"/>
      <c r="E845" s="15"/>
      <c r="F845" s="1"/>
      <c r="G845" s="5"/>
      <c r="H845" s="16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5"/>
      <c r="D846" s="1"/>
      <c r="E846" s="15"/>
      <c r="F846" s="1"/>
      <c r="G846" s="5"/>
      <c r="H846" s="16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5"/>
      <c r="D847" s="1"/>
      <c r="E847" s="15"/>
      <c r="F847" s="1"/>
      <c r="G847" s="5"/>
      <c r="H847" s="16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5"/>
      <c r="D848" s="1"/>
      <c r="E848" s="15"/>
      <c r="F848" s="1"/>
      <c r="G848" s="5"/>
      <c r="H848" s="16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5"/>
      <c r="D849" s="1"/>
      <c r="E849" s="15"/>
      <c r="F849" s="1"/>
      <c r="G849" s="5"/>
      <c r="H849" s="16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5"/>
      <c r="D850" s="1"/>
      <c r="E850" s="15"/>
      <c r="F850" s="1"/>
      <c r="G850" s="5"/>
      <c r="H850" s="16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5"/>
      <c r="D851" s="1"/>
      <c r="E851" s="15"/>
      <c r="F851" s="1"/>
      <c r="G851" s="5"/>
      <c r="H851" s="16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5"/>
      <c r="D852" s="1"/>
      <c r="E852" s="15"/>
      <c r="F852" s="1"/>
      <c r="G852" s="5"/>
      <c r="H852" s="16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5"/>
      <c r="D853" s="1"/>
      <c r="E853" s="15"/>
      <c r="F853" s="1"/>
      <c r="G853" s="5"/>
      <c r="H853" s="16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5"/>
      <c r="D854" s="1"/>
      <c r="E854" s="15"/>
      <c r="F854" s="1"/>
      <c r="G854" s="5"/>
      <c r="H854" s="16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5"/>
      <c r="D855" s="1"/>
      <c r="E855" s="15"/>
      <c r="F855" s="1"/>
      <c r="G855" s="5"/>
      <c r="H855" s="16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5"/>
      <c r="D856" s="1"/>
      <c r="E856" s="15"/>
      <c r="F856" s="1"/>
      <c r="G856" s="5"/>
      <c r="H856" s="16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5"/>
      <c r="D857" s="1"/>
      <c r="E857" s="15"/>
      <c r="F857" s="1"/>
      <c r="G857" s="5"/>
      <c r="H857" s="16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5"/>
      <c r="D858" s="1"/>
      <c r="E858" s="15"/>
      <c r="F858" s="1"/>
      <c r="G858" s="5"/>
      <c r="H858" s="16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5"/>
      <c r="D859" s="1"/>
      <c r="E859" s="15"/>
      <c r="F859" s="1"/>
      <c r="G859" s="5"/>
      <c r="H859" s="16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5"/>
      <c r="D860" s="1"/>
      <c r="E860" s="15"/>
      <c r="F860" s="1"/>
      <c r="G860" s="5"/>
      <c r="H860" s="16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5"/>
      <c r="D861" s="1"/>
      <c r="E861" s="15"/>
      <c r="F861" s="1"/>
      <c r="G861" s="5"/>
      <c r="H861" s="16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5"/>
      <c r="D862" s="1"/>
      <c r="E862" s="15"/>
      <c r="F862" s="1"/>
      <c r="G862" s="5"/>
      <c r="H862" s="16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5"/>
      <c r="D863" s="1"/>
      <c r="E863" s="15"/>
      <c r="F863" s="1"/>
      <c r="G863" s="5"/>
      <c r="H863" s="16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5"/>
      <c r="D864" s="1"/>
      <c r="E864" s="15"/>
      <c r="F864" s="1"/>
      <c r="G864" s="5"/>
      <c r="H864" s="16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5"/>
      <c r="D865" s="1"/>
      <c r="E865" s="15"/>
      <c r="F865" s="1"/>
      <c r="G865" s="5"/>
      <c r="H865" s="16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5"/>
      <c r="D866" s="1"/>
      <c r="E866" s="15"/>
      <c r="F866" s="1"/>
      <c r="G866" s="5"/>
      <c r="H866" s="16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5"/>
      <c r="D867" s="1"/>
      <c r="E867" s="15"/>
      <c r="F867" s="1"/>
      <c r="G867" s="5"/>
      <c r="H867" s="16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5"/>
      <c r="D868" s="1"/>
      <c r="E868" s="15"/>
      <c r="F868" s="1"/>
      <c r="G868" s="5"/>
      <c r="H868" s="16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5"/>
      <c r="D869" s="1"/>
      <c r="E869" s="15"/>
      <c r="F869" s="1"/>
      <c r="G869" s="5"/>
      <c r="H869" s="16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5"/>
      <c r="D870" s="1"/>
      <c r="E870" s="15"/>
      <c r="F870" s="1"/>
      <c r="G870" s="5"/>
      <c r="H870" s="16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5"/>
      <c r="D871" s="1"/>
      <c r="E871" s="15"/>
      <c r="F871" s="1"/>
      <c r="G871" s="5"/>
      <c r="H871" s="16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5"/>
      <c r="D872" s="1"/>
      <c r="E872" s="15"/>
      <c r="F872" s="1"/>
      <c r="G872" s="5"/>
      <c r="H872" s="16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5"/>
      <c r="D873" s="1"/>
      <c r="E873" s="15"/>
      <c r="F873" s="1"/>
      <c r="G873" s="5"/>
      <c r="H873" s="16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5"/>
      <c r="D874" s="1"/>
      <c r="E874" s="15"/>
      <c r="F874" s="1"/>
      <c r="G874" s="5"/>
      <c r="H874" s="16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5"/>
      <c r="D875" s="1"/>
      <c r="E875" s="15"/>
      <c r="F875" s="1"/>
      <c r="G875" s="5"/>
      <c r="H875" s="16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5"/>
      <c r="D876" s="1"/>
      <c r="E876" s="15"/>
      <c r="F876" s="1"/>
      <c r="G876" s="5"/>
      <c r="H876" s="16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5"/>
      <c r="D877" s="1"/>
      <c r="E877" s="15"/>
      <c r="F877" s="1"/>
      <c r="G877" s="5"/>
      <c r="H877" s="16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5"/>
      <c r="D878" s="1"/>
      <c r="E878" s="15"/>
      <c r="F878" s="1"/>
      <c r="G878" s="5"/>
      <c r="H878" s="16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5"/>
      <c r="D879" s="1"/>
      <c r="E879" s="15"/>
      <c r="F879" s="1"/>
      <c r="G879" s="5"/>
      <c r="H879" s="16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5"/>
      <c r="D880" s="1"/>
      <c r="E880" s="15"/>
      <c r="F880" s="1"/>
      <c r="G880" s="5"/>
      <c r="H880" s="16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5"/>
      <c r="D881" s="1"/>
      <c r="E881" s="15"/>
      <c r="F881" s="1"/>
      <c r="G881" s="5"/>
      <c r="H881" s="16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5"/>
      <c r="D882" s="1"/>
      <c r="E882" s="15"/>
      <c r="F882" s="1"/>
      <c r="G882" s="5"/>
      <c r="H882" s="16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5"/>
      <c r="D883" s="1"/>
      <c r="E883" s="15"/>
      <c r="F883" s="1"/>
      <c r="G883" s="5"/>
      <c r="H883" s="16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5"/>
      <c r="D884" s="1"/>
      <c r="E884" s="15"/>
      <c r="F884" s="1"/>
      <c r="G884" s="5"/>
      <c r="H884" s="16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5"/>
      <c r="D885" s="1"/>
      <c r="E885" s="15"/>
      <c r="F885" s="1"/>
      <c r="G885" s="5"/>
      <c r="H885" s="16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5"/>
      <c r="D886" s="1"/>
      <c r="E886" s="15"/>
      <c r="F886" s="1"/>
      <c r="G886" s="5"/>
      <c r="H886" s="16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5"/>
      <c r="D887" s="1"/>
      <c r="E887" s="15"/>
      <c r="F887" s="1"/>
      <c r="G887" s="5"/>
      <c r="H887" s="16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5"/>
      <c r="D888" s="1"/>
      <c r="E888" s="15"/>
      <c r="F888" s="1"/>
      <c r="G888" s="5"/>
      <c r="H888" s="16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5"/>
      <c r="D889" s="1"/>
      <c r="E889" s="15"/>
      <c r="F889" s="1"/>
      <c r="G889" s="5"/>
      <c r="H889" s="16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5"/>
      <c r="D890" s="1"/>
      <c r="E890" s="15"/>
      <c r="F890" s="1"/>
      <c r="G890" s="5"/>
      <c r="H890" s="16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5"/>
      <c r="D891" s="1"/>
      <c r="E891" s="15"/>
      <c r="F891" s="1"/>
      <c r="G891" s="5"/>
      <c r="H891" s="16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5"/>
      <c r="D892" s="1"/>
      <c r="E892" s="15"/>
      <c r="F892" s="1"/>
      <c r="G892" s="5"/>
      <c r="H892" s="16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5"/>
      <c r="D893" s="1"/>
      <c r="E893" s="15"/>
      <c r="F893" s="1"/>
      <c r="G893" s="5"/>
      <c r="H893" s="16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5"/>
      <c r="D894" s="1"/>
      <c r="E894" s="15"/>
      <c r="F894" s="1"/>
      <c r="G894" s="5"/>
      <c r="H894" s="16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5"/>
      <c r="D895" s="1"/>
      <c r="E895" s="15"/>
      <c r="F895" s="1"/>
      <c r="G895" s="5"/>
      <c r="H895" s="16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5"/>
      <c r="D896" s="1"/>
      <c r="E896" s="15"/>
      <c r="F896" s="1"/>
      <c r="G896" s="5"/>
      <c r="H896" s="16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5"/>
      <c r="D897" s="1"/>
      <c r="E897" s="15"/>
      <c r="F897" s="1"/>
      <c r="G897" s="5"/>
      <c r="H897" s="16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5"/>
      <c r="D898" s="1"/>
      <c r="E898" s="15"/>
      <c r="F898" s="1"/>
      <c r="G898" s="5"/>
      <c r="H898" s="16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5"/>
      <c r="D899" s="1"/>
      <c r="E899" s="15"/>
      <c r="F899" s="1"/>
      <c r="G899" s="5"/>
      <c r="H899" s="16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5"/>
      <c r="D900" s="1"/>
      <c r="E900" s="15"/>
      <c r="F900" s="1"/>
      <c r="G900" s="5"/>
      <c r="H900" s="16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5"/>
      <c r="D901" s="1"/>
      <c r="E901" s="15"/>
      <c r="F901" s="1"/>
      <c r="G901" s="5"/>
      <c r="H901" s="16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5"/>
      <c r="D902" s="1"/>
      <c r="E902" s="15"/>
      <c r="F902" s="1"/>
      <c r="G902" s="5"/>
      <c r="H902" s="16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5"/>
      <c r="D903" s="1"/>
      <c r="E903" s="15"/>
      <c r="F903" s="1"/>
      <c r="G903" s="5"/>
      <c r="H903" s="16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5"/>
      <c r="D904" s="1"/>
      <c r="E904" s="15"/>
      <c r="F904" s="1"/>
      <c r="G904" s="5"/>
      <c r="H904" s="16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5"/>
      <c r="D905" s="1"/>
      <c r="E905" s="15"/>
      <c r="F905" s="1"/>
      <c r="G905" s="5"/>
      <c r="H905" s="16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5"/>
      <c r="D906" s="1"/>
      <c r="E906" s="15"/>
      <c r="F906" s="1"/>
      <c r="G906" s="5"/>
      <c r="H906" s="16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5"/>
      <c r="D907" s="1"/>
      <c r="E907" s="15"/>
      <c r="F907" s="1"/>
      <c r="G907" s="5"/>
      <c r="H907" s="16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5"/>
      <c r="D908" s="1"/>
      <c r="E908" s="15"/>
      <c r="F908" s="1"/>
      <c r="G908" s="5"/>
      <c r="H908" s="16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5"/>
      <c r="D909" s="1"/>
      <c r="E909" s="15"/>
      <c r="F909" s="1"/>
      <c r="G909" s="5"/>
      <c r="H909" s="16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5"/>
      <c r="D910" s="1"/>
      <c r="E910" s="15"/>
      <c r="F910" s="1"/>
      <c r="G910" s="5"/>
      <c r="H910" s="16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5"/>
      <c r="D911" s="1"/>
      <c r="E911" s="15"/>
      <c r="F911" s="1"/>
      <c r="G911" s="5"/>
      <c r="H911" s="16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5"/>
      <c r="D912" s="1"/>
      <c r="E912" s="15"/>
      <c r="F912" s="1"/>
      <c r="G912" s="5"/>
      <c r="H912" s="16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5"/>
      <c r="D913" s="1"/>
      <c r="E913" s="15"/>
      <c r="F913" s="1"/>
      <c r="G913" s="5"/>
      <c r="H913" s="16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5"/>
      <c r="D914" s="1"/>
      <c r="E914" s="15"/>
      <c r="F914" s="1"/>
      <c r="G914" s="5"/>
      <c r="H914" s="16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5"/>
      <c r="D915" s="1"/>
      <c r="E915" s="15"/>
      <c r="F915" s="1"/>
      <c r="G915" s="5"/>
      <c r="H915" s="16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5"/>
      <c r="D916" s="1"/>
      <c r="E916" s="15"/>
      <c r="F916" s="1"/>
      <c r="G916" s="5"/>
      <c r="H916" s="16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5"/>
      <c r="D917" s="1"/>
      <c r="E917" s="15"/>
      <c r="F917" s="1"/>
      <c r="G917" s="5"/>
      <c r="H917" s="16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5"/>
      <c r="D918" s="1"/>
      <c r="E918" s="15"/>
      <c r="F918" s="1"/>
      <c r="G918" s="5"/>
      <c r="H918" s="16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5"/>
      <c r="D919" s="1"/>
      <c r="E919" s="15"/>
      <c r="F919" s="1"/>
      <c r="G919" s="5"/>
      <c r="H919" s="16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5"/>
      <c r="D920" s="1"/>
      <c r="E920" s="15"/>
      <c r="F920" s="1"/>
      <c r="G920" s="5"/>
      <c r="H920" s="16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5"/>
      <c r="D921" s="1"/>
      <c r="E921" s="15"/>
      <c r="F921" s="1"/>
      <c r="G921" s="5"/>
      <c r="H921" s="16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5"/>
      <c r="D922" s="1"/>
      <c r="E922" s="15"/>
      <c r="F922" s="1"/>
      <c r="G922" s="5"/>
      <c r="H922" s="16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5"/>
      <c r="D923" s="1"/>
      <c r="E923" s="15"/>
      <c r="F923" s="1"/>
      <c r="G923" s="5"/>
      <c r="H923" s="16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5"/>
      <c r="D924" s="1"/>
      <c r="E924" s="15"/>
      <c r="F924" s="1"/>
      <c r="G924" s="5"/>
      <c r="H924" s="16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5"/>
      <c r="D925" s="1"/>
      <c r="E925" s="15"/>
      <c r="F925" s="1"/>
      <c r="G925" s="5"/>
      <c r="H925" s="16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5"/>
      <c r="D926" s="1"/>
      <c r="E926" s="15"/>
      <c r="F926" s="1"/>
      <c r="G926" s="5"/>
      <c r="H926" s="16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5"/>
      <c r="D927" s="1"/>
      <c r="E927" s="15"/>
      <c r="F927" s="1"/>
      <c r="G927" s="5"/>
      <c r="H927" s="16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5"/>
      <c r="D928" s="1"/>
      <c r="E928" s="15"/>
      <c r="F928" s="1"/>
      <c r="G928" s="5"/>
      <c r="H928" s="16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5"/>
      <c r="D929" s="1"/>
      <c r="E929" s="15"/>
      <c r="F929" s="1"/>
      <c r="G929" s="5"/>
      <c r="H929" s="16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5"/>
      <c r="D930" s="1"/>
      <c r="E930" s="15"/>
      <c r="F930" s="1"/>
      <c r="G930" s="5"/>
      <c r="H930" s="16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5"/>
      <c r="D931" s="1"/>
      <c r="E931" s="15"/>
      <c r="F931" s="1"/>
      <c r="G931" s="5"/>
      <c r="H931" s="16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5"/>
      <c r="D932" s="1"/>
      <c r="E932" s="15"/>
      <c r="F932" s="1"/>
      <c r="G932" s="5"/>
      <c r="H932" s="16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5"/>
      <c r="D933" s="1"/>
      <c r="E933" s="15"/>
      <c r="F933" s="1"/>
      <c r="G933" s="5"/>
      <c r="H933" s="16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5"/>
      <c r="D934" s="1"/>
      <c r="E934" s="15"/>
      <c r="F934" s="1"/>
      <c r="G934" s="5"/>
      <c r="H934" s="16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5"/>
      <c r="D935" s="1"/>
      <c r="E935" s="15"/>
      <c r="F935" s="1"/>
      <c r="G935" s="5"/>
      <c r="H935" s="16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5"/>
      <c r="D936" s="1"/>
      <c r="E936" s="15"/>
      <c r="F936" s="1"/>
      <c r="G936" s="5"/>
      <c r="H936" s="16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5"/>
      <c r="D937" s="1"/>
      <c r="E937" s="15"/>
      <c r="F937" s="1"/>
      <c r="G937" s="5"/>
      <c r="H937" s="16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5"/>
      <c r="D938" s="1"/>
      <c r="E938" s="15"/>
      <c r="F938" s="1"/>
      <c r="G938" s="5"/>
      <c r="H938" s="16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5"/>
      <c r="D939" s="1"/>
      <c r="E939" s="15"/>
      <c r="F939" s="1"/>
      <c r="G939" s="5"/>
      <c r="H939" s="16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5"/>
      <c r="D940" s="1"/>
      <c r="E940" s="15"/>
      <c r="F940" s="1"/>
      <c r="G940" s="5"/>
      <c r="H940" s="16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5"/>
      <c r="D941" s="1"/>
      <c r="E941" s="15"/>
      <c r="F941" s="1"/>
      <c r="G941" s="5"/>
      <c r="H941" s="16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5"/>
      <c r="D942" s="1"/>
      <c r="E942" s="15"/>
      <c r="F942" s="1"/>
      <c r="G942" s="5"/>
      <c r="H942" s="16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5"/>
      <c r="D943" s="1"/>
      <c r="E943" s="15"/>
      <c r="F943" s="1"/>
      <c r="G943" s="5"/>
      <c r="H943" s="16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5"/>
      <c r="D944" s="1"/>
      <c r="E944" s="15"/>
      <c r="F944" s="1"/>
      <c r="G944" s="5"/>
      <c r="H944" s="16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5"/>
      <c r="D945" s="1"/>
      <c r="E945" s="15"/>
      <c r="F945" s="1"/>
      <c r="G945" s="5"/>
      <c r="H945" s="16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5"/>
      <c r="D946" s="1"/>
      <c r="E946" s="15"/>
      <c r="F946" s="1"/>
      <c r="G946" s="5"/>
      <c r="H946" s="16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5"/>
      <c r="D947" s="1"/>
      <c r="E947" s="15"/>
      <c r="F947" s="1"/>
      <c r="G947" s="5"/>
      <c r="H947" s="16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5"/>
      <c r="D948" s="1"/>
      <c r="E948" s="15"/>
      <c r="F948" s="1"/>
      <c r="G948" s="5"/>
      <c r="H948" s="16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5"/>
      <c r="D949" s="1"/>
      <c r="E949" s="15"/>
      <c r="F949" s="1"/>
      <c r="G949" s="5"/>
      <c r="H949" s="16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5"/>
      <c r="D950" s="1"/>
      <c r="E950" s="15"/>
      <c r="F950" s="1"/>
      <c r="G950" s="5"/>
      <c r="H950" s="16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5"/>
      <c r="D951" s="1"/>
      <c r="E951" s="15"/>
      <c r="F951" s="1"/>
      <c r="G951" s="5"/>
      <c r="H951" s="16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5"/>
      <c r="D952" s="1"/>
      <c r="E952" s="15"/>
      <c r="F952" s="1"/>
      <c r="G952" s="5"/>
      <c r="H952" s="16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5"/>
      <c r="D953" s="1"/>
      <c r="E953" s="15"/>
      <c r="F953" s="1"/>
      <c r="G953" s="5"/>
      <c r="H953" s="16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5"/>
      <c r="D954" s="1"/>
      <c r="E954" s="15"/>
      <c r="F954" s="1"/>
      <c r="G954" s="5"/>
      <c r="H954" s="16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5"/>
      <c r="D955" s="1"/>
      <c r="E955" s="15"/>
      <c r="F955" s="1"/>
      <c r="G955" s="5"/>
      <c r="H955" s="16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5"/>
      <c r="D956" s="1"/>
      <c r="E956" s="15"/>
      <c r="F956" s="1"/>
      <c r="G956" s="5"/>
      <c r="H956" s="16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5"/>
      <c r="D957" s="1"/>
      <c r="E957" s="15"/>
      <c r="F957" s="1"/>
      <c r="G957" s="5"/>
      <c r="H957" s="16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5"/>
      <c r="D958" s="1"/>
      <c r="E958" s="15"/>
      <c r="F958" s="1"/>
      <c r="G958" s="5"/>
      <c r="H958" s="16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5"/>
      <c r="D959" s="1"/>
      <c r="E959" s="15"/>
      <c r="F959" s="1"/>
      <c r="G959" s="5"/>
      <c r="H959" s="16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5"/>
      <c r="D960" s="1"/>
      <c r="E960" s="15"/>
      <c r="F960" s="1"/>
      <c r="G960" s="5"/>
      <c r="H960" s="16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5"/>
      <c r="D961" s="1"/>
      <c r="E961" s="15"/>
      <c r="F961" s="1"/>
      <c r="G961" s="5"/>
      <c r="H961" s="16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5"/>
      <c r="D962" s="1"/>
      <c r="E962" s="15"/>
      <c r="F962" s="1"/>
      <c r="G962" s="5"/>
      <c r="H962" s="16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5"/>
      <c r="D963" s="1"/>
      <c r="E963" s="15"/>
      <c r="F963" s="1"/>
      <c r="G963" s="5"/>
      <c r="H963" s="16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5"/>
      <c r="D964" s="1"/>
      <c r="E964" s="15"/>
      <c r="F964" s="1"/>
      <c r="G964" s="5"/>
      <c r="H964" s="16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5"/>
      <c r="D965" s="1"/>
      <c r="E965" s="15"/>
      <c r="F965" s="1"/>
      <c r="G965" s="5"/>
      <c r="H965" s="16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5"/>
      <c r="D966" s="1"/>
      <c r="E966" s="15"/>
      <c r="F966" s="1"/>
      <c r="G966" s="5"/>
      <c r="H966" s="16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5"/>
      <c r="D967" s="1"/>
      <c r="E967" s="15"/>
      <c r="F967" s="1"/>
      <c r="G967" s="5"/>
      <c r="H967" s="16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5"/>
      <c r="D968" s="1"/>
      <c r="E968" s="15"/>
      <c r="F968" s="1"/>
      <c r="G968" s="5"/>
      <c r="H968" s="16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5"/>
      <c r="D969" s="1"/>
      <c r="E969" s="15"/>
      <c r="F969" s="1"/>
      <c r="G969" s="5"/>
      <c r="H969" s="16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5"/>
      <c r="D970" s="1"/>
      <c r="E970" s="15"/>
      <c r="F970" s="1"/>
      <c r="G970" s="5"/>
      <c r="H970" s="16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5"/>
      <c r="D971" s="1"/>
      <c r="E971" s="15"/>
      <c r="F971" s="1"/>
      <c r="G971" s="5"/>
      <c r="H971" s="16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5"/>
      <c r="D972" s="1"/>
      <c r="E972" s="15"/>
      <c r="F972" s="1"/>
      <c r="G972" s="5"/>
      <c r="H972" s="16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5"/>
      <c r="D973" s="1"/>
      <c r="E973" s="15"/>
      <c r="F973" s="1"/>
      <c r="G973" s="5"/>
      <c r="H973" s="16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5"/>
      <c r="D974" s="1"/>
      <c r="E974" s="15"/>
      <c r="F974" s="1"/>
      <c r="G974" s="5"/>
      <c r="H974" s="16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5"/>
      <c r="D975" s="1"/>
      <c r="E975" s="15"/>
      <c r="F975" s="1"/>
      <c r="G975" s="5"/>
      <c r="H975" s="16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5"/>
      <c r="D976" s="1"/>
      <c r="E976" s="15"/>
      <c r="F976" s="1"/>
      <c r="G976" s="5"/>
      <c r="H976" s="16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5"/>
      <c r="D977" s="1"/>
      <c r="E977" s="15"/>
      <c r="F977" s="1"/>
      <c r="G977" s="5"/>
      <c r="H977" s="16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5"/>
      <c r="D978" s="1"/>
      <c r="E978" s="15"/>
      <c r="F978" s="1"/>
      <c r="G978" s="5"/>
      <c r="H978" s="16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5"/>
      <c r="D979" s="1"/>
      <c r="E979" s="15"/>
      <c r="F979" s="1"/>
      <c r="G979" s="5"/>
      <c r="H979" s="16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5"/>
      <c r="D980" s="1"/>
      <c r="E980" s="15"/>
      <c r="F980" s="1"/>
      <c r="G980" s="5"/>
      <c r="H980" s="16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5"/>
      <c r="D981" s="1"/>
      <c r="E981" s="15"/>
      <c r="F981" s="1"/>
      <c r="G981" s="5"/>
      <c r="H981" s="16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5"/>
      <c r="D982" s="1"/>
      <c r="E982" s="15"/>
      <c r="F982" s="1"/>
      <c r="G982" s="5"/>
      <c r="H982" s="16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5"/>
      <c r="D983" s="1"/>
      <c r="E983" s="15"/>
      <c r="F983" s="1"/>
      <c r="G983" s="5"/>
      <c r="H983" s="16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5"/>
      <c r="D984" s="1"/>
      <c r="E984" s="15"/>
      <c r="F984" s="1"/>
      <c r="G984" s="5"/>
      <c r="H984" s="16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5"/>
      <c r="D985" s="1"/>
      <c r="E985" s="15"/>
      <c r="F985" s="1"/>
      <c r="G985" s="5"/>
      <c r="H985" s="16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5"/>
      <c r="D986" s="1"/>
      <c r="E986" s="15"/>
      <c r="F986" s="1"/>
      <c r="G986" s="5"/>
      <c r="H986" s="16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5"/>
      <c r="D987" s="1"/>
      <c r="E987" s="15"/>
      <c r="F987" s="1"/>
      <c r="G987" s="5"/>
      <c r="H987" s="16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5"/>
      <c r="D988" s="1"/>
      <c r="E988" s="15"/>
      <c r="F988" s="1"/>
      <c r="G988" s="5"/>
      <c r="H988" s="16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5"/>
      <c r="D989" s="1"/>
      <c r="E989" s="15"/>
      <c r="F989" s="1"/>
      <c r="G989" s="5"/>
      <c r="H989" s="16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5"/>
      <c r="D990" s="1"/>
      <c r="E990" s="15"/>
      <c r="F990" s="1"/>
      <c r="G990" s="5"/>
      <c r="H990" s="16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5"/>
      <c r="D991" s="1"/>
      <c r="E991" s="15"/>
      <c r="F991" s="1"/>
      <c r="G991" s="5"/>
      <c r="H991" s="16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5"/>
      <c r="D992" s="1"/>
      <c r="E992" s="15"/>
      <c r="F992" s="1"/>
      <c r="G992" s="5"/>
      <c r="H992" s="16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5"/>
      <c r="D993" s="1"/>
      <c r="E993" s="15"/>
      <c r="F993" s="1"/>
      <c r="G993" s="5"/>
      <c r="H993" s="16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5"/>
      <c r="D994" s="1"/>
      <c r="E994" s="15"/>
      <c r="F994" s="1"/>
      <c r="G994" s="5"/>
      <c r="H994" s="16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5"/>
      <c r="D995" s="1"/>
      <c r="E995" s="15"/>
      <c r="F995" s="1"/>
      <c r="G995" s="5"/>
      <c r="H995" s="16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5"/>
      <c r="D996" s="1"/>
      <c r="E996" s="15"/>
      <c r="F996" s="1"/>
      <c r="G996" s="5"/>
      <c r="H996" s="16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5"/>
      <c r="D997" s="1"/>
      <c r="E997" s="15"/>
      <c r="F997" s="1"/>
      <c r="G997" s="5"/>
      <c r="H997" s="16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5"/>
      <c r="D998" s="1"/>
      <c r="E998" s="15"/>
      <c r="F998" s="1"/>
      <c r="G998" s="5"/>
      <c r="H998" s="16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5"/>
      <c r="D999" s="1"/>
      <c r="E999" s="15"/>
      <c r="F999" s="1"/>
      <c r="G999" s="5"/>
      <c r="H999" s="16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5"/>
      <c r="D1000" s="1"/>
      <c r="E1000" s="15"/>
      <c r="F1000" s="1"/>
      <c r="G1000" s="5"/>
      <c r="H1000" s="16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.71"/>
    <col customWidth="1" min="2" max="2" width="24.57"/>
    <col customWidth="1" min="3" max="3" width="34.43"/>
    <col customWidth="1" min="4" max="4" width="35.29"/>
    <col customWidth="1" min="5" max="5" width="41.43"/>
    <col customWidth="1" min="6" max="6" width="23.57"/>
    <col customWidth="1" min="7" max="7" width="31.43"/>
    <col customWidth="1" min="8" max="8" width="3.71"/>
    <col customWidth="1" min="9" max="9" width="14.0"/>
    <col customWidth="1" min="10" max="10" width="1.86"/>
    <col customWidth="1" min="11" max="11" width="11.43"/>
    <col customWidth="1" min="12" max="12" width="13.0"/>
    <col customWidth="1" min="13" max="13" width="27.14"/>
    <col customWidth="1" min="14" max="26" width="11.43"/>
  </cols>
  <sheetData>
    <row r="1" ht="15.0" customHeight="1">
      <c r="A1" s="1"/>
      <c r="B1" s="1"/>
      <c r="C1" s="2" t="str">
        <f>TABLAS!$A$4</f>
        <v>#REF!</v>
      </c>
      <c r="D1" s="2"/>
      <c r="E1" s="1"/>
      <c r="F1" s="5"/>
      <c r="G1" s="16"/>
      <c r="H1" s="1"/>
      <c r="I1" s="1"/>
      <c r="J1" s="1"/>
      <c r="K1" s="1"/>
      <c r="L1" s="1"/>
      <c r="M1" s="1" t="str">
        <f>+#REF!+#REF!+#REF!+#REF!</f>
        <v>#REF!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5.0" customHeight="1">
      <c r="A2" s="1"/>
      <c r="B2" s="1"/>
      <c r="C2" s="3"/>
      <c r="D2" s="2"/>
      <c r="E2" s="1"/>
      <c r="F2" s="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5.0" customHeight="1">
      <c r="A3" s="1"/>
      <c r="B3" s="1"/>
      <c r="C3" s="3"/>
      <c r="D3" s="2"/>
      <c r="E3" s="1"/>
      <c r="F3" s="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0" customHeight="1">
      <c r="A4" s="1"/>
      <c r="B4" s="1"/>
      <c r="C4" s="3" t="str">
        <f>TABLAS!$C$5</f>
        <v>#REF!</v>
      </c>
      <c r="D4" s="3" t="str">
        <f>TABLAS!$E$5</f>
        <v>#REF!</v>
      </c>
      <c r="E4" s="1"/>
      <c r="F4" s="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0" customHeight="1">
      <c r="A5" s="1"/>
      <c r="B5" s="1"/>
      <c r="C5" s="4" t="str">
        <f>+TABLAS!$B$5</f>
        <v>#REF!</v>
      </c>
      <c r="D5" s="4" t="str">
        <f>+TABLAS!$D$5</f>
        <v>#REF!</v>
      </c>
      <c r="E5" s="1"/>
      <c r="F5" s="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/>
      <c r="C6" s="5"/>
      <c r="D6" s="1"/>
      <c r="E6" s="1"/>
      <c r="F6" s="5"/>
      <c r="G6" s="16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/>
      <c r="B7" s="1"/>
      <c r="C7" s="5"/>
      <c r="D7" s="1"/>
      <c r="E7" s="1"/>
      <c r="F7" s="5"/>
      <c r="G7" s="16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/>
      <c r="B8" s="1"/>
      <c r="C8" s="5"/>
      <c r="D8" s="1"/>
      <c r="E8" s="1"/>
      <c r="F8" s="5"/>
      <c r="G8" s="16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customHeight="1">
      <c r="A9" s="13"/>
      <c r="B9" s="1"/>
      <c r="C9" s="5"/>
      <c r="D9" s="16"/>
      <c r="E9" s="1"/>
      <c r="F9" s="5"/>
      <c r="G9" s="21">
        <f>+SUM(G11:$G$18)</f>
        <v>0</v>
      </c>
      <c r="H9" s="1"/>
      <c r="I9" s="2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22" t="s">
        <v>7</v>
      </c>
      <c r="C10" s="23" t="s">
        <v>8</v>
      </c>
      <c r="D10" s="24" t="s">
        <v>9</v>
      </c>
      <c r="E10" s="24" t="s">
        <v>10</v>
      </c>
      <c r="F10" s="22" t="s">
        <v>11</v>
      </c>
      <c r="G10" s="26" t="s">
        <v>12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customHeight="1">
      <c r="A11" s="1"/>
      <c r="B11" s="12" t="str">
        <f t="array" ref="B11">IFERROR(INDEX(Devoluciones!$A$2:$Q$250,SMALL(IF((Devoluciones!$H$2:$H$250&gt;=$C$5)*(Devoluciones!$H$2:$H$250&lt;$D$5),ROW(Devoluciones!$A$2:$A$250)-ROW(Devoluciones!$A$2)+1),ROWS($B$11:B11)),COLUMNS($B$11:B11)),"")</f>
        <v/>
      </c>
      <c r="C11" s="12" t="str">
        <f t="array" ref="C11">IFERROR(INDEX(Devoluciones!$A$2:$Q$250,SMALL(IF((Devoluciones!$H$2:$H$250&gt;=$C$5)*(Devoluciones!$H$2:$H$250&lt;$D$5),ROW(Devoluciones!$A$2:$A$250)-ROW(Devoluciones!$A$2)+1),ROWS($B$11:D11)),COLUMNS($B$11:D11)),"")</f>
        <v/>
      </c>
      <c r="D11" s="12" t="str">
        <f t="array" ref="D11">IFERROR(INDEX(Devoluciones!$A$2:$Q$250,SMALL(IF((Devoluciones!$H$2:$H$250&gt;=$C$5)*(Devoluciones!$H$2:$H$250&lt;$D$5),ROW(Devoluciones!$A$2:$A$250)-ROW(Devoluciones!$A$2)+1),ROWS($B$11:F11)),COLUMNS($B$11:F11)),"")</f>
        <v/>
      </c>
      <c r="E11" s="12" t="str">
        <f t="array" ref="E11">IFERROR(INDEX(Devoluciones!$A$2:$Q$250,SMALL(IF((Devoluciones!$H$2:$H$250&gt;=$C$5)*(Devoluciones!$H$2:$H$250&lt;$D$5),ROW(Devoluciones!$A$2:$A$250)-ROW(Devoluciones!$A$2)+1),ROWS($B$11:H11)),COLUMNS($B$11:H11)),"")</f>
        <v/>
      </c>
      <c r="F11" s="11" t="str">
        <f t="array" ref="F11">IFERROR(INDEX(Devoluciones!$A$2:$Q$250,SMALL(IF((Devoluciones!$H$2:$H$250&gt;=$C$5)*(Devoluciones!$H$2:$H$250&lt;$D$5),ROW(Devoluciones!$A$2:$A$250)-ROW(Devoluciones!$A$2)+1),ROWS($B$11:K11)),COLUMNS($B$11:K11)),"")</f>
        <v/>
      </c>
      <c r="G11" s="10" t="str">
        <f t="array" ref="G11">IFERROR(INDEX(Devoluciones!$A$2:$Q$250,SMALL(IF((Devoluciones!$H$2:$H$250&gt;=$C$5)*(Devoluciones!$H$2:$H$250&lt;$D$5),ROW(Devoluciones!$A$2:$A$250)-ROW(Devoluciones!$A$2)+1),ROWS($B$11:G11)),COLUMNS($B$11:G11)),"")</f>
        <v/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2" t="str">
        <f t="array" ref="B12">IFERROR(INDEX(Devoluciones!$A$2:$Q$250,SMALL(IF((Devoluciones!$H$2:$H$250&gt;=$C$5)*(Devoluciones!$H$2:$H$250&lt;$D$5),ROW(Devoluciones!$A$2:$A$250)-ROW(Devoluciones!$A$2)+1),ROWS($B$11:B12)),COLUMNS($B$11:B12)),"")</f>
        <v/>
      </c>
      <c r="C12" s="12" t="str">
        <f t="array" ref="C12">IFERROR(INDEX(Devoluciones!$A$2:$Q$250,SMALL(IF((Devoluciones!$H$2:$H$250&gt;=$C$5)*(Devoluciones!$H$2:$H$250&lt;$D$5),ROW(Devoluciones!$A$2:$A$250)-ROW(Devoluciones!$A$2)+1),ROWS($B$11:D12)),COLUMNS($B$11:D12)),"")</f>
        <v/>
      </c>
      <c r="D12" s="12" t="str">
        <f t="array" ref="D12">IFERROR(INDEX(Devoluciones!$A$2:$Q$250,SMALL(IF((Devoluciones!$H$2:$H$250&gt;=$C$5)*(Devoluciones!$H$2:$H$250&lt;$D$5),ROW(Devoluciones!$A$2:$A$250)-ROW(Devoluciones!$A$2)+1),ROWS($B$11:F12)),COLUMNS($B$11:F12)),"")</f>
        <v/>
      </c>
      <c r="E12" s="12" t="str">
        <f t="array" ref="E12">IFERROR(INDEX(Devoluciones!$A$2:$Q$250,SMALL(IF((Devoluciones!$H$2:$H$250&gt;=$C$5)*(Devoluciones!$H$2:$H$250&lt;$D$5),ROW(Devoluciones!$A$2:$A$250)-ROW(Devoluciones!$A$2)+1),ROWS($B$11:H12)),COLUMNS($B$11:H12)),"")</f>
        <v/>
      </c>
      <c r="F12" s="11" t="str">
        <f t="array" ref="F12">IFERROR(INDEX(Devoluciones!$A$2:$Q$250,SMALL(IF((Devoluciones!$H$2:$H$250&gt;=$C$5)*(Devoluciones!$H$2:$H$250&lt;$D$5),ROW(Devoluciones!$A$2:$A$250)-ROW(Devoluciones!$A$2)+1),ROWS($B$11:K12)),COLUMNS($B$11:K12)),"")</f>
        <v/>
      </c>
      <c r="G12" s="10" t="str">
        <f t="array" ref="G12">IFERROR(INDEX(Devoluciones!$A$2:$Q$250,SMALL(IF((Devoluciones!$H$2:$H$250&gt;=$C$5)*(Devoluciones!$H$2:$H$250&lt;$D$5),ROW(Devoluciones!$A$2:$A$250)-ROW(Devoluciones!$A$2)+1),ROWS($B$11:G12)),COLUMNS($B$11:G12)),"")</f>
        <v/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2" t="str">
        <f t="array" ref="B13">IFERROR(INDEX(Devoluciones!$A$2:$Q$250,SMALL(IF((Devoluciones!$H$2:$H$250&gt;=$C$5)*(Devoluciones!$H$2:$H$250&lt;$D$5),ROW(Devoluciones!$A$2:$A$250)-ROW(Devoluciones!$A$2)+1),ROWS($B$11:B13)),COLUMNS($B$11:B13)),"")</f>
        <v/>
      </c>
      <c r="C13" s="12" t="str">
        <f t="array" ref="C13">IFERROR(INDEX(Devoluciones!$A$2:$Q$250,SMALL(IF((Devoluciones!$H$2:$H$250&gt;=$C$5)*(Devoluciones!$H$2:$H$250&lt;$D$5),ROW(Devoluciones!$A$2:$A$250)-ROW(Devoluciones!$A$2)+1),ROWS($B$11:D13)),COLUMNS($B$11:D13)),"")</f>
        <v/>
      </c>
      <c r="D13" s="12" t="str">
        <f t="array" ref="D13">IFERROR(INDEX(Devoluciones!$A$2:$Q$250,SMALL(IF((Devoluciones!$H$2:$H$250&gt;=$C$5)*(Devoluciones!$H$2:$H$250&lt;$D$5),ROW(Devoluciones!$A$2:$A$250)-ROW(Devoluciones!$A$2)+1),ROWS($B$11:F13)),COLUMNS($B$11:F13)),"")</f>
        <v/>
      </c>
      <c r="E13" s="12" t="str">
        <f t="array" ref="E13">IFERROR(INDEX(Devoluciones!$A$2:$Q$250,SMALL(IF((Devoluciones!$H$2:$H$250&gt;=$C$5)*(Devoluciones!$H$2:$H$250&lt;$D$5),ROW(Devoluciones!$A$2:$A$250)-ROW(Devoluciones!$A$2)+1),ROWS($B$11:H13)),COLUMNS($B$11:H13)),"")</f>
        <v/>
      </c>
      <c r="F13" s="11" t="str">
        <f t="array" ref="F13">IFERROR(INDEX(Devoluciones!$A$2:$Q$250,SMALL(IF((Devoluciones!$H$2:$H$250&gt;=$C$5)*(Devoluciones!$H$2:$H$250&lt;$D$5),ROW(Devoluciones!$A$2:$A$250)-ROW(Devoluciones!$A$2)+1),ROWS($B$11:K13)),COLUMNS($B$11:K13)),"")</f>
        <v/>
      </c>
      <c r="G13" s="10" t="str">
        <f t="array" ref="G13">IFERROR(INDEX(Devoluciones!$A$2:$Q$250,SMALL(IF((Devoluciones!$H$2:$H$250&gt;=$C$5)*(Devoluciones!$H$2:$H$250&lt;$D$5),ROW(Devoluciones!$A$2:$A$250)-ROW(Devoluciones!$A$2)+1),ROWS($B$11:G13)),COLUMNS($B$11:G13)),"")</f>
        <v/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2" t="str">
        <f t="array" ref="B14">IFERROR(INDEX(Devoluciones!$A$2:$Q$250,SMALL(IF((Devoluciones!$H$2:$H$250&gt;=$C$5)*(Devoluciones!$H$2:$H$250&lt;$D$5),ROW(Devoluciones!$A$2:$A$250)-ROW(Devoluciones!$A$2)+1),ROWS($B$11:B14)),COLUMNS($B$11:B14)),"")</f>
        <v/>
      </c>
      <c r="C14" s="12" t="str">
        <f t="array" ref="C14">IFERROR(INDEX(Devoluciones!$A$2:$Q$250,SMALL(IF((Devoluciones!$H$2:$H$250&gt;=$C$5)*(Devoluciones!$H$2:$H$250&lt;$D$5),ROW(Devoluciones!$A$2:$A$250)-ROW(Devoluciones!$A$2)+1),ROWS($B$11:D14)),COLUMNS($B$11:D14)),"")</f>
        <v/>
      </c>
      <c r="D14" s="12" t="str">
        <f t="array" ref="D14">IFERROR(INDEX(Devoluciones!$A$2:$Q$250,SMALL(IF((Devoluciones!$H$2:$H$250&gt;=$C$5)*(Devoluciones!$H$2:$H$250&lt;$D$5),ROW(Devoluciones!$A$2:$A$250)-ROW(Devoluciones!$A$2)+1),ROWS($B$11:F14)),COLUMNS($B$11:F14)),"")</f>
        <v/>
      </c>
      <c r="E14" s="12" t="str">
        <f t="array" ref="E14">IFERROR(INDEX(Devoluciones!$A$2:$Q$250,SMALL(IF((Devoluciones!$H$2:$H$250&gt;=$C$5)*(Devoluciones!$H$2:$H$250&lt;$D$5),ROW(Devoluciones!$A$2:$A$250)-ROW(Devoluciones!$A$2)+1),ROWS($B$11:H14)),COLUMNS($B$11:H14)),"")</f>
        <v/>
      </c>
      <c r="F14" s="11" t="str">
        <f t="array" ref="F14">IFERROR(INDEX(Devoluciones!$A$2:$Q$250,SMALL(IF((Devoluciones!$H$2:$H$250&gt;=$C$5)*(Devoluciones!$H$2:$H$250&lt;$D$5),ROW(Devoluciones!$A$2:$A$250)-ROW(Devoluciones!$A$2)+1),ROWS($B$11:K14)),COLUMNS($B$11:K14)),"")</f>
        <v/>
      </c>
      <c r="G14" s="10" t="str">
        <f t="array" ref="G14">IFERROR(INDEX(Devoluciones!$A$2:$Q$250,SMALL(IF((Devoluciones!$H$2:$H$250&gt;=$C$5)*(Devoluciones!$H$2:$H$250&lt;$D$5),ROW(Devoluciones!$A$2:$A$250)-ROW(Devoluciones!$A$2)+1),ROWS($B$11:G14)),COLUMNS($B$11:G14)),"")</f>
        <v/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2" t="str">
        <f t="array" ref="B15">IFERROR(INDEX(Devoluciones!$A$2:$Q$250,SMALL(IF((Devoluciones!$H$2:$H$250&gt;=$C$5)*(Devoluciones!$H$2:$H$250&lt;$D$5),ROW(Devoluciones!$A$2:$A$250)-ROW(Devoluciones!$A$2)+1),ROWS($B$11:B15)),COLUMNS($B$11:B15)),"")</f>
        <v/>
      </c>
      <c r="C15" s="12" t="str">
        <f t="array" ref="C15">IFERROR(INDEX(Devoluciones!$A$2:$Q$250,SMALL(IF((Devoluciones!$H$2:$H$250&gt;=$C$5)*(Devoluciones!$H$2:$H$250&lt;$D$5),ROW(Devoluciones!$A$2:$A$250)-ROW(Devoluciones!$A$2)+1),ROWS($B$11:D15)),COLUMNS($B$11:D15)),"")</f>
        <v/>
      </c>
      <c r="D15" s="12" t="str">
        <f t="array" ref="D15">IFERROR(INDEX(Devoluciones!$A$2:$Q$250,SMALL(IF((Devoluciones!$H$2:$H$250&gt;=$C$5)*(Devoluciones!$H$2:$H$250&lt;$D$5),ROW(Devoluciones!$A$2:$A$250)-ROW(Devoluciones!$A$2)+1),ROWS($B$11:F15)),COLUMNS($B$11:F15)),"")</f>
        <v/>
      </c>
      <c r="E15" s="12" t="str">
        <f t="array" ref="E15">IFERROR(INDEX(Devoluciones!$A$2:$Q$250,SMALL(IF((Devoluciones!$H$2:$H$250&gt;=$C$5)*(Devoluciones!$H$2:$H$250&lt;$D$5),ROW(Devoluciones!$A$2:$A$250)-ROW(Devoluciones!$A$2)+1),ROWS($B$11:H15)),COLUMNS($B$11:H15)),"")</f>
        <v/>
      </c>
      <c r="F15" s="11" t="str">
        <f t="array" ref="F15">IFERROR(INDEX(Devoluciones!$A$2:$Q$250,SMALL(IF((Devoluciones!$H$2:$H$250&gt;=$C$5)*(Devoluciones!$H$2:$H$250&lt;$D$5),ROW(Devoluciones!$A$2:$A$250)-ROW(Devoluciones!$A$2)+1),ROWS($B$11:K15)),COLUMNS($B$11:K15)),"")</f>
        <v/>
      </c>
      <c r="G15" s="10" t="str">
        <f t="array" ref="G15">IFERROR(INDEX(Devoluciones!$A$2:$Q$250,SMALL(IF((Devoluciones!$H$2:$H$250&gt;=$C$5)*(Devoluciones!$H$2:$H$250&lt;$D$5),ROW(Devoluciones!$A$2:$A$250)-ROW(Devoluciones!$A$2)+1),ROWS($B$11:G15)),COLUMNS($B$11:G15)),"")</f>
        <v/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2" t="str">
        <f t="array" ref="B16">IFERROR(INDEX(Devoluciones!$A$2:$Q$250,SMALL(IF((Devoluciones!$H$2:$H$250&gt;=$C$5)*(Devoluciones!$H$2:$H$250&lt;$D$5),ROW(Devoluciones!$A$2:$A$250)-ROW(Devoluciones!$A$2)+1),ROWS($B$11:B16)),COLUMNS($B$11:B16)),"")</f>
        <v/>
      </c>
      <c r="C16" s="12" t="str">
        <f t="array" ref="C16">IFERROR(INDEX(Devoluciones!$A$2:$Q$250,SMALL(IF((Devoluciones!$H$2:$H$250&gt;=$C$5)*(Devoluciones!$H$2:$H$250&lt;$D$5),ROW(Devoluciones!$A$2:$A$250)-ROW(Devoluciones!$A$2)+1),ROWS($B$11:D16)),COLUMNS($B$11:D16)),"")</f>
        <v/>
      </c>
      <c r="D16" s="12" t="str">
        <f t="array" ref="D16">IFERROR(INDEX(Devoluciones!$A$2:$Q$250,SMALL(IF((Devoluciones!$H$2:$H$250&gt;=$C$5)*(Devoluciones!$H$2:$H$250&lt;$D$5),ROW(Devoluciones!$A$2:$A$250)-ROW(Devoluciones!$A$2)+1),ROWS($B$11:F16)),COLUMNS($B$11:F16)),"")</f>
        <v/>
      </c>
      <c r="E16" s="12" t="str">
        <f t="array" ref="E16">IFERROR(INDEX(Devoluciones!$A$2:$Q$250,SMALL(IF((Devoluciones!$H$2:$H$250&gt;=$C$5)*(Devoluciones!$H$2:$H$250&lt;$D$5),ROW(Devoluciones!$A$2:$A$250)-ROW(Devoluciones!$A$2)+1),ROWS($B$11:H16)),COLUMNS($B$11:H16)),"")</f>
        <v/>
      </c>
      <c r="F16" s="11" t="str">
        <f t="array" ref="F16">IFERROR(INDEX(Devoluciones!$A$2:$Q$250,SMALL(IF((Devoluciones!$H$2:$H$250&gt;=$C$5)*(Devoluciones!$H$2:$H$250&lt;$D$5),ROW(Devoluciones!$A$2:$A$250)-ROW(Devoluciones!$A$2)+1),ROWS($B$11:K16)),COLUMNS($B$11:K16)),"")</f>
        <v/>
      </c>
      <c r="G16" s="10" t="str">
        <f t="array" ref="G16">IFERROR(INDEX(Devoluciones!$A$2:$Q$250,SMALL(IF((Devoluciones!$H$2:$H$250&gt;=$C$5)*(Devoluciones!$H$2:$H$250&lt;$D$5),ROW(Devoluciones!$A$2:$A$250)-ROW(Devoluciones!$A$2)+1),ROWS($B$11:G16)),COLUMNS($B$11:G16)),"")</f>
        <v/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2" t="str">
        <f t="array" ref="B17">IFERROR(INDEX(Devoluciones!$A$2:$Q$250,SMALL(IF((Devoluciones!$H$2:$H$250&gt;=$C$5)*(Devoluciones!$H$2:$H$250&lt;$D$5),ROW(Devoluciones!$A$2:$A$250)-ROW(Devoluciones!$A$2)+1),ROWS($B$11:B17)),COLUMNS($B$11:B17)),"")</f>
        <v/>
      </c>
      <c r="C17" s="12" t="str">
        <f t="array" ref="C17">IFERROR(INDEX(Devoluciones!$A$2:$Q$250,SMALL(IF((Devoluciones!$H$2:$H$250&gt;=$C$5)*(Devoluciones!$H$2:$H$250&lt;$D$5),ROW(Devoluciones!$A$2:$A$250)-ROW(Devoluciones!$A$2)+1),ROWS($B$11:D17)),COLUMNS($B$11:D17)),"")</f>
        <v/>
      </c>
      <c r="D17" s="12" t="str">
        <f t="array" ref="D17">IFERROR(INDEX(Devoluciones!$A$2:$Q$250,SMALL(IF((Devoluciones!$H$2:$H$250&gt;=$C$5)*(Devoluciones!$H$2:$H$250&lt;$D$5),ROW(Devoluciones!$A$2:$A$250)-ROW(Devoluciones!$A$2)+1),ROWS($B$11:F17)),COLUMNS($B$11:F17)),"")</f>
        <v/>
      </c>
      <c r="E17" s="12" t="str">
        <f t="array" ref="E17">IFERROR(INDEX(Devoluciones!$A$2:$Q$250,SMALL(IF((Devoluciones!$H$2:$H$250&gt;=$C$5)*(Devoluciones!$H$2:$H$250&lt;$D$5),ROW(Devoluciones!$A$2:$A$250)-ROW(Devoluciones!$A$2)+1),ROWS($B$11:H17)),COLUMNS($B$11:H17)),"")</f>
        <v/>
      </c>
      <c r="F17" s="11" t="str">
        <f t="array" ref="F17">IFERROR(INDEX(Devoluciones!$A$2:$Q$250,SMALL(IF((Devoluciones!$H$2:$H$250&gt;=$C$5)*(Devoluciones!$H$2:$H$250&lt;$D$5),ROW(Devoluciones!$A$2:$A$250)-ROW(Devoluciones!$A$2)+1),ROWS($B$11:K17)),COLUMNS($B$11:K17)),"")</f>
        <v/>
      </c>
      <c r="G17" s="10" t="str">
        <f t="array" ref="G17">IFERROR(INDEX(Devoluciones!$A$2:$Q$250,SMALL(IF((Devoluciones!$H$2:$H$250&gt;=$C$5)*(Devoluciones!$H$2:$H$250&lt;$D$5),ROW(Devoluciones!$A$2:$A$250)-ROW(Devoluciones!$A$2)+1),ROWS($B$11:G17)),COLUMNS($B$11:G17)),"")</f>
        <v/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2" t="str">
        <f t="array" ref="B18">IFERROR(INDEX(Devoluciones!$A$2:$Q$250,SMALL(IF((Devoluciones!$H$2:$H$250&gt;=$C$5)*(Devoluciones!$H$2:$H$250&lt;$D$5),ROW(Devoluciones!$A$2:$A$250)-ROW(Devoluciones!$A$2)+1),ROWS($B$11:B18)),COLUMNS($B$11:B18)),"")</f>
        <v/>
      </c>
      <c r="C18" s="12" t="str">
        <f t="array" ref="C18">IFERROR(INDEX(Devoluciones!$A$2:$Q$250,SMALL(IF((Devoluciones!$H$2:$H$250&gt;=$C$5)*(Devoluciones!$H$2:$H$250&lt;$D$5),ROW(Devoluciones!$A$2:$A$250)-ROW(Devoluciones!$A$2)+1),ROWS($B$11:D18)),COLUMNS($B$11:D18)),"")</f>
        <v/>
      </c>
      <c r="D18" s="12" t="str">
        <f t="array" ref="D18">IFERROR(INDEX(Devoluciones!$A$2:$Q$250,SMALL(IF((Devoluciones!$H$2:$H$250&gt;=$C$5)*(Devoluciones!$H$2:$H$250&lt;$D$5),ROW(Devoluciones!$A$2:$A$250)-ROW(Devoluciones!$A$2)+1),ROWS($B$11:F18)),COLUMNS($B$11:F18)),"")</f>
        <v/>
      </c>
      <c r="E18" s="12" t="str">
        <f t="array" ref="E18">IFERROR(INDEX(Devoluciones!$A$2:$Q$250,SMALL(IF((Devoluciones!$H$2:$H$250&gt;=$C$5)*(Devoluciones!$H$2:$H$250&lt;$D$5),ROW(Devoluciones!$A$2:$A$250)-ROW(Devoluciones!$A$2)+1),ROWS($B$11:H18)),COLUMNS($B$11:H18)),"")</f>
        <v/>
      </c>
      <c r="F18" s="11" t="str">
        <f t="array" ref="F18">IFERROR(INDEX(Devoluciones!$A$2:$Q$250,SMALL(IF((Devoluciones!$H$2:$H$250&gt;=$C$5)*(Devoluciones!$H$2:$H$250&lt;$D$5),ROW(Devoluciones!$A$2:$A$250)-ROW(Devoluciones!$A$2)+1),ROWS($B$11:K18)),COLUMNS($B$11:K18)),"")</f>
        <v/>
      </c>
      <c r="G18" s="10" t="str">
        <f t="array" ref="G18">IFERROR(INDEX(Devoluciones!$A$2:$Q$250,SMALL(IF((Devoluciones!$H$2:$H$250&gt;=$C$5)*(Devoluciones!$H$2:$H$250&lt;$D$5),ROW(Devoluciones!$A$2:$A$250)-ROW(Devoluciones!$A$2)+1),ROWS($B$11:G18)),COLUMNS($B$11:G18)),"")</f>
        <v/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1"/>
      <c r="C19" s="5"/>
      <c r="D19" s="1"/>
      <c r="E19" s="1"/>
      <c r="F19" s="5"/>
      <c r="G19" s="16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5"/>
      <c r="D20" s="1"/>
      <c r="E20" s="1"/>
      <c r="F20" s="5"/>
      <c r="G20" s="16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"/>
      <c r="C21" s="5"/>
      <c r="D21" s="1"/>
      <c r="E21" s="1"/>
      <c r="F21" s="5"/>
      <c r="G21" s="16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"/>
      <c r="C22" s="5"/>
      <c r="D22" s="1"/>
      <c r="E22" s="1"/>
      <c r="F22" s="5"/>
      <c r="G22" s="16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1"/>
      <c r="C23" s="5"/>
      <c r="D23" s="1"/>
      <c r="E23" s="1"/>
      <c r="F23" s="5"/>
      <c r="G23" s="16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"/>
      <c r="C24" s="5"/>
      <c r="D24" s="1"/>
      <c r="E24" s="1"/>
      <c r="F24" s="5"/>
      <c r="G24" s="16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1"/>
      <c r="B25" s="1"/>
      <c r="C25" s="5"/>
      <c r="D25" s="1"/>
      <c r="E25" s="1"/>
      <c r="F25" s="5"/>
      <c r="G25" s="16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1"/>
      <c r="C26" s="5"/>
      <c r="D26" s="1"/>
      <c r="E26" s="1"/>
      <c r="F26" s="5"/>
      <c r="G26" s="16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"/>
      <c r="C27" s="5"/>
      <c r="D27" s="1"/>
      <c r="E27" s="1"/>
      <c r="F27" s="5"/>
      <c r="G27" s="16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1"/>
      <c r="C28" s="5"/>
      <c r="D28" s="1"/>
      <c r="E28" s="1"/>
      <c r="F28" s="5"/>
      <c r="G28" s="16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"/>
      <c r="C29" s="5"/>
      <c r="D29" s="1"/>
      <c r="E29" s="1"/>
      <c r="F29" s="5"/>
      <c r="G29" s="16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5"/>
      <c r="D30" s="1"/>
      <c r="E30" s="1"/>
      <c r="F30" s="5"/>
      <c r="G30" s="16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5"/>
      <c r="D31" s="1"/>
      <c r="E31" s="1"/>
      <c r="F31" s="5"/>
      <c r="G31" s="16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"/>
      <c r="C32" s="5"/>
      <c r="D32" s="1"/>
      <c r="E32" s="1"/>
      <c r="F32" s="5"/>
      <c r="G32" s="16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5"/>
      <c r="D33" s="1"/>
      <c r="E33" s="1"/>
      <c r="F33" s="5"/>
      <c r="G33" s="16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5"/>
      <c r="D34" s="1"/>
      <c r="E34" s="1"/>
      <c r="F34" s="5"/>
      <c r="G34" s="16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5"/>
      <c r="D35" s="1"/>
      <c r="E35" s="1"/>
      <c r="F35" s="5"/>
      <c r="G35" s="16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5"/>
      <c r="D36" s="1"/>
      <c r="E36" s="1"/>
      <c r="F36" s="5"/>
      <c r="G36" s="16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5"/>
      <c r="D37" s="1"/>
      <c r="E37" s="1"/>
      <c r="F37" s="5"/>
      <c r="G37" s="16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5"/>
      <c r="D38" s="1"/>
      <c r="E38" s="1"/>
      <c r="F38" s="5"/>
      <c r="G38" s="16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5"/>
      <c r="D39" s="1"/>
      <c r="E39" s="1"/>
      <c r="F39" s="5"/>
      <c r="G39" s="16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5"/>
      <c r="D40" s="1"/>
      <c r="E40" s="1"/>
      <c r="F40" s="5"/>
      <c r="G40" s="16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5"/>
      <c r="D41" s="1"/>
      <c r="E41" s="1"/>
      <c r="F41" s="5"/>
      <c r="G41" s="16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5"/>
      <c r="D42" s="1"/>
      <c r="E42" s="1"/>
      <c r="F42" s="5"/>
      <c r="G42" s="16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5"/>
      <c r="D43" s="1"/>
      <c r="E43" s="1"/>
      <c r="F43" s="5"/>
      <c r="G43" s="16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5"/>
      <c r="D44" s="1"/>
      <c r="E44" s="1"/>
      <c r="F44" s="5"/>
      <c r="G44" s="16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5"/>
      <c r="D45" s="1"/>
      <c r="E45" s="1"/>
      <c r="F45" s="5"/>
      <c r="G45" s="16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5"/>
      <c r="D46" s="1"/>
      <c r="E46" s="1"/>
      <c r="F46" s="5"/>
      <c r="G46" s="16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5"/>
      <c r="D47" s="1"/>
      <c r="E47" s="1"/>
      <c r="F47" s="5"/>
      <c r="G47" s="16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5"/>
      <c r="D48" s="1"/>
      <c r="E48" s="1"/>
      <c r="F48" s="5"/>
      <c r="G48" s="16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5"/>
      <c r="D49" s="1"/>
      <c r="E49" s="1"/>
      <c r="F49" s="5"/>
      <c r="G49" s="16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5"/>
      <c r="D50" s="1"/>
      <c r="E50" s="1"/>
      <c r="F50" s="5"/>
      <c r="G50" s="16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5"/>
      <c r="D51" s="1"/>
      <c r="E51" s="1"/>
      <c r="F51" s="5"/>
      <c r="G51" s="16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5"/>
      <c r="D52" s="1"/>
      <c r="E52" s="1"/>
      <c r="F52" s="5"/>
      <c r="G52" s="16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5"/>
      <c r="D53" s="1"/>
      <c r="E53" s="1"/>
      <c r="F53" s="5"/>
      <c r="G53" s="16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5"/>
      <c r="D54" s="1"/>
      <c r="E54" s="1"/>
      <c r="F54" s="5"/>
      <c r="G54" s="16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5"/>
      <c r="D55" s="1"/>
      <c r="E55" s="1"/>
      <c r="F55" s="5"/>
      <c r="G55" s="16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5"/>
      <c r="D56" s="1"/>
      <c r="E56" s="1"/>
      <c r="F56" s="5"/>
      <c r="G56" s="16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5"/>
      <c r="D57" s="1"/>
      <c r="E57" s="1"/>
      <c r="F57" s="5"/>
      <c r="G57" s="16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5"/>
      <c r="D58" s="1"/>
      <c r="E58" s="1"/>
      <c r="F58" s="5"/>
      <c r="G58" s="16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5"/>
      <c r="D59" s="1"/>
      <c r="E59" s="1"/>
      <c r="F59" s="5"/>
      <c r="G59" s="16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5"/>
      <c r="D60" s="1"/>
      <c r="E60" s="1"/>
      <c r="F60" s="5"/>
      <c r="G60" s="16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5"/>
      <c r="D61" s="1"/>
      <c r="E61" s="1"/>
      <c r="F61" s="5"/>
      <c r="G61" s="16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5"/>
      <c r="D62" s="1"/>
      <c r="E62" s="1"/>
      <c r="F62" s="5"/>
      <c r="G62" s="16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5"/>
      <c r="D63" s="1"/>
      <c r="E63" s="1"/>
      <c r="F63" s="5"/>
      <c r="G63" s="16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5"/>
      <c r="D64" s="1"/>
      <c r="E64" s="1"/>
      <c r="F64" s="5"/>
      <c r="G64" s="16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5"/>
      <c r="D65" s="1"/>
      <c r="E65" s="1"/>
      <c r="F65" s="5"/>
      <c r="G65" s="16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5"/>
      <c r="D66" s="1"/>
      <c r="E66" s="1"/>
      <c r="F66" s="5"/>
      <c r="G66" s="16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5"/>
      <c r="D67" s="1"/>
      <c r="E67" s="1"/>
      <c r="F67" s="5"/>
      <c r="G67" s="16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5"/>
      <c r="D68" s="1"/>
      <c r="E68" s="1"/>
      <c r="F68" s="5"/>
      <c r="G68" s="16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5"/>
      <c r="D69" s="1"/>
      <c r="E69" s="1"/>
      <c r="F69" s="5"/>
      <c r="G69" s="16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5"/>
      <c r="D70" s="1"/>
      <c r="E70" s="1"/>
      <c r="F70" s="5"/>
      <c r="G70" s="16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5"/>
      <c r="D71" s="1"/>
      <c r="E71" s="1"/>
      <c r="F71" s="5"/>
      <c r="G71" s="16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5"/>
      <c r="D72" s="1"/>
      <c r="E72" s="1"/>
      <c r="F72" s="5"/>
      <c r="G72" s="16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5"/>
      <c r="D73" s="1"/>
      <c r="E73" s="1"/>
      <c r="F73" s="5"/>
      <c r="G73" s="16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5"/>
      <c r="D74" s="1"/>
      <c r="E74" s="1"/>
      <c r="F74" s="5"/>
      <c r="G74" s="16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5"/>
      <c r="D75" s="1"/>
      <c r="E75" s="1"/>
      <c r="F75" s="5"/>
      <c r="G75" s="16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5"/>
      <c r="D76" s="1"/>
      <c r="E76" s="1"/>
      <c r="F76" s="5"/>
      <c r="G76" s="16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5"/>
      <c r="D77" s="1"/>
      <c r="E77" s="1"/>
      <c r="F77" s="5"/>
      <c r="G77" s="16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5"/>
      <c r="D78" s="1"/>
      <c r="E78" s="1"/>
      <c r="F78" s="5"/>
      <c r="G78" s="16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5"/>
      <c r="D79" s="1"/>
      <c r="E79" s="1"/>
      <c r="F79" s="5"/>
      <c r="G79" s="16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5"/>
      <c r="D80" s="1"/>
      <c r="E80" s="1"/>
      <c r="F80" s="5"/>
      <c r="G80" s="16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5"/>
      <c r="D81" s="1"/>
      <c r="E81" s="1"/>
      <c r="F81" s="5"/>
      <c r="G81" s="16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5"/>
      <c r="D82" s="1"/>
      <c r="E82" s="1"/>
      <c r="F82" s="5"/>
      <c r="G82" s="16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5"/>
      <c r="D83" s="1"/>
      <c r="E83" s="1"/>
      <c r="F83" s="5"/>
      <c r="G83" s="16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5"/>
      <c r="D84" s="1"/>
      <c r="E84" s="1"/>
      <c r="F84" s="5"/>
      <c r="G84" s="16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5"/>
      <c r="D85" s="1"/>
      <c r="E85" s="1"/>
      <c r="F85" s="5"/>
      <c r="G85" s="16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5"/>
      <c r="D86" s="1"/>
      <c r="E86" s="1"/>
      <c r="F86" s="5"/>
      <c r="G86" s="16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5"/>
      <c r="D87" s="1"/>
      <c r="E87" s="1"/>
      <c r="F87" s="5"/>
      <c r="G87" s="16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5"/>
      <c r="D88" s="1"/>
      <c r="E88" s="1"/>
      <c r="F88" s="5"/>
      <c r="G88" s="16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5"/>
      <c r="D89" s="1"/>
      <c r="E89" s="1"/>
      <c r="F89" s="5"/>
      <c r="G89" s="16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5"/>
      <c r="D90" s="1"/>
      <c r="E90" s="1"/>
      <c r="F90" s="5"/>
      <c r="G90" s="16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5"/>
      <c r="D91" s="1"/>
      <c r="E91" s="1"/>
      <c r="F91" s="5"/>
      <c r="G91" s="16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5"/>
      <c r="D92" s="1"/>
      <c r="E92" s="1"/>
      <c r="F92" s="5"/>
      <c r="G92" s="16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5"/>
      <c r="D93" s="1"/>
      <c r="E93" s="1"/>
      <c r="F93" s="5"/>
      <c r="G93" s="16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5"/>
      <c r="D94" s="1"/>
      <c r="E94" s="1"/>
      <c r="F94" s="5"/>
      <c r="G94" s="16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5"/>
      <c r="D95" s="1"/>
      <c r="E95" s="1"/>
      <c r="F95" s="5"/>
      <c r="G95" s="16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5"/>
      <c r="D96" s="1"/>
      <c r="E96" s="1"/>
      <c r="F96" s="5"/>
      <c r="G96" s="16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5"/>
      <c r="D97" s="1"/>
      <c r="E97" s="1"/>
      <c r="F97" s="5"/>
      <c r="G97" s="16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5"/>
      <c r="D98" s="1"/>
      <c r="E98" s="1"/>
      <c r="F98" s="5"/>
      <c r="G98" s="16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5"/>
      <c r="D99" s="1"/>
      <c r="E99" s="1"/>
      <c r="F99" s="5"/>
      <c r="G99" s="16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5"/>
      <c r="D100" s="1"/>
      <c r="E100" s="1"/>
      <c r="F100" s="5"/>
      <c r="G100" s="16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5"/>
      <c r="D101" s="1"/>
      <c r="E101" s="1"/>
      <c r="F101" s="5"/>
      <c r="G101" s="16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5"/>
      <c r="D102" s="1"/>
      <c r="E102" s="1"/>
      <c r="F102" s="5"/>
      <c r="G102" s="16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5"/>
      <c r="D103" s="1"/>
      <c r="E103" s="1"/>
      <c r="F103" s="5"/>
      <c r="G103" s="16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5"/>
      <c r="D104" s="1"/>
      <c r="E104" s="1"/>
      <c r="F104" s="5"/>
      <c r="G104" s="16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5"/>
      <c r="D105" s="1"/>
      <c r="E105" s="1"/>
      <c r="F105" s="5"/>
      <c r="G105" s="16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5"/>
      <c r="D106" s="1"/>
      <c r="E106" s="1"/>
      <c r="F106" s="5"/>
      <c r="G106" s="16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5"/>
      <c r="D107" s="1"/>
      <c r="E107" s="1"/>
      <c r="F107" s="5"/>
      <c r="G107" s="16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5"/>
      <c r="D108" s="1"/>
      <c r="E108" s="1"/>
      <c r="F108" s="5"/>
      <c r="G108" s="16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5"/>
      <c r="D109" s="1"/>
      <c r="E109" s="1"/>
      <c r="F109" s="5"/>
      <c r="G109" s="16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5"/>
      <c r="D110" s="1"/>
      <c r="E110" s="1"/>
      <c r="F110" s="5"/>
      <c r="G110" s="16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5"/>
      <c r="D111" s="1"/>
      <c r="E111" s="1"/>
      <c r="F111" s="5"/>
      <c r="G111" s="16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5"/>
      <c r="D112" s="1"/>
      <c r="E112" s="1"/>
      <c r="F112" s="5"/>
      <c r="G112" s="16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5"/>
      <c r="D113" s="1"/>
      <c r="E113" s="1"/>
      <c r="F113" s="5"/>
      <c r="G113" s="16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5"/>
      <c r="D114" s="1"/>
      <c r="E114" s="1"/>
      <c r="F114" s="5"/>
      <c r="G114" s="16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5"/>
      <c r="D115" s="1"/>
      <c r="E115" s="1"/>
      <c r="F115" s="5"/>
      <c r="G115" s="16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5"/>
      <c r="D116" s="1"/>
      <c r="E116" s="1"/>
      <c r="F116" s="5"/>
      <c r="G116" s="16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5"/>
      <c r="D117" s="1"/>
      <c r="E117" s="1"/>
      <c r="F117" s="5"/>
      <c r="G117" s="16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5"/>
      <c r="D118" s="1"/>
      <c r="E118" s="1"/>
      <c r="F118" s="5"/>
      <c r="G118" s="16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5"/>
      <c r="D119" s="1"/>
      <c r="E119" s="1"/>
      <c r="F119" s="5"/>
      <c r="G119" s="16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5"/>
      <c r="D120" s="1"/>
      <c r="E120" s="1"/>
      <c r="F120" s="5"/>
      <c r="G120" s="16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5"/>
      <c r="D121" s="1"/>
      <c r="E121" s="1"/>
      <c r="F121" s="5"/>
      <c r="G121" s="16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5"/>
      <c r="D122" s="1"/>
      <c r="E122" s="1"/>
      <c r="F122" s="5"/>
      <c r="G122" s="16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5"/>
      <c r="D123" s="1"/>
      <c r="E123" s="1"/>
      <c r="F123" s="5"/>
      <c r="G123" s="16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5"/>
      <c r="D124" s="1"/>
      <c r="E124" s="1"/>
      <c r="F124" s="5"/>
      <c r="G124" s="16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5"/>
      <c r="D125" s="1"/>
      <c r="E125" s="1"/>
      <c r="F125" s="5"/>
      <c r="G125" s="16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5"/>
      <c r="D126" s="1"/>
      <c r="E126" s="1"/>
      <c r="F126" s="5"/>
      <c r="G126" s="16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5"/>
      <c r="D127" s="1"/>
      <c r="E127" s="1"/>
      <c r="F127" s="5"/>
      <c r="G127" s="16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5"/>
      <c r="D128" s="1"/>
      <c r="E128" s="1"/>
      <c r="F128" s="5"/>
      <c r="G128" s="16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5"/>
      <c r="D129" s="1"/>
      <c r="E129" s="1"/>
      <c r="F129" s="5"/>
      <c r="G129" s="16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5"/>
      <c r="D130" s="1"/>
      <c r="E130" s="1"/>
      <c r="F130" s="5"/>
      <c r="G130" s="16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5"/>
      <c r="D131" s="1"/>
      <c r="E131" s="1"/>
      <c r="F131" s="5"/>
      <c r="G131" s="16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5"/>
      <c r="D132" s="1"/>
      <c r="E132" s="1"/>
      <c r="F132" s="5"/>
      <c r="G132" s="16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5"/>
      <c r="D133" s="1"/>
      <c r="E133" s="1"/>
      <c r="F133" s="5"/>
      <c r="G133" s="16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5"/>
      <c r="D134" s="1"/>
      <c r="E134" s="1"/>
      <c r="F134" s="5"/>
      <c r="G134" s="16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5"/>
      <c r="D135" s="1"/>
      <c r="E135" s="1"/>
      <c r="F135" s="5"/>
      <c r="G135" s="16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5"/>
      <c r="D136" s="1"/>
      <c r="E136" s="1"/>
      <c r="F136" s="5"/>
      <c r="G136" s="16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5"/>
      <c r="D137" s="1"/>
      <c r="E137" s="1"/>
      <c r="F137" s="5"/>
      <c r="G137" s="16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5"/>
      <c r="D138" s="1"/>
      <c r="E138" s="1"/>
      <c r="F138" s="5"/>
      <c r="G138" s="16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5"/>
      <c r="D139" s="1"/>
      <c r="E139" s="1"/>
      <c r="F139" s="5"/>
      <c r="G139" s="16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5"/>
      <c r="D140" s="1"/>
      <c r="E140" s="1"/>
      <c r="F140" s="5"/>
      <c r="G140" s="16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5"/>
      <c r="D141" s="1"/>
      <c r="E141" s="1"/>
      <c r="F141" s="5"/>
      <c r="G141" s="16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5"/>
      <c r="D142" s="1"/>
      <c r="E142" s="1"/>
      <c r="F142" s="5"/>
      <c r="G142" s="16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5"/>
      <c r="D143" s="1"/>
      <c r="E143" s="1"/>
      <c r="F143" s="5"/>
      <c r="G143" s="16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5"/>
      <c r="D144" s="1"/>
      <c r="E144" s="1"/>
      <c r="F144" s="5"/>
      <c r="G144" s="16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5"/>
      <c r="D145" s="1"/>
      <c r="E145" s="1"/>
      <c r="F145" s="5"/>
      <c r="G145" s="16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5"/>
      <c r="D146" s="1"/>
      <c r="E146" s="1"/>
      <c r="F146" s="5"/>
      <c r="G146" s="16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5"/>
      <c r="D147" s="1"/>
      <c r="E147" s="1"/>
      <c r="F147" s="5"/>
      <c r="G147" s="16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5"/>
      <c r="D148" s="1"/>
      <c r="E148" s="1"/>
      <c r="F148" s="5"/>
      <c r="G148" s="16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5"/>
      <c r="D149" s="1"/>
      <c r="E149" s="1"/>
      <c r="F149" s="5"/>
      <c r="G149" s="16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5"/>
      <c r="D150" s="1"/>
      <c r="E150" s="1"/>
      <c r="F150" s="5"/>
      <c r="G150" s="16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5"/>
      <c r="D151" s="1"/>
      <c r="E151" s="1"/>
      <c r="F151" s="5"/>
      <c r="G151" s="16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5"/>
      <c r="D152" s="1"/>
      <c r="E152" s="1"/>
      <c r="F152" s="5"/>
      <c r="G152" s="16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5"/>
      <c r="D153" s="1"/>
      <c r="E153" s="1"/>
      <c r="F153" s="5"/>
      <c r="G153" s="16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5"/>
      <c r="D154" s="1"/>
      <c r="E154" s="1"/>
      <c r="F154" s="5"/>
      <c r="G154" s="16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5"/>
      <c r="D155" s="1"/>
      <c r="E155" s="1"/>
      <c r="F155" s="5"/>
      <c r="G155" s="16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5"/>
      <c r="D156" s="1"/>
      <c r="E156" s="1"/>
      <c r="F156" s="5"/>
      <c r="G156" s="16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5"/>
      <c r="D157" s="1"/>
      <c r="E157" s="1"/>
      <c r="F157" s="5"/>
      <c r="G157" s="16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5"/>
      <c r="D158" s="1"/>
      <c r="E158" s="1"/>
      <c r="F158" s="5"/>
      <c r="G158" s="16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5"/>
      <c r="D159" s="1"/>
      <c r="E159" s="1"/>
      <c r="F159" s="5"/>
      <c r="G159" s="16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5"/>
      <c r="D160" s="1"/>
      <c r="E160" s="1"/>
      <c r="F160" s="5"/>
      <c r="G160" s="16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5"/>
      <c r="D161" s="1"/>
      <c r="E161" s="1"/>
      <c r="F161" s="5"/>
      <c r="G161" s="16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5"/>
      <c r="D162" s="1"/>
      <c r="E162" s="1"/>
      <c r="F162" s="5"/>
      <c r="G162" s="16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5"/>
      <c r="D163" s="1"/>
      <c r="E163" s="1"/>
      <c r="F163" s="5"/>
      <c r="G163" s="16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5"/>
      <c r="D164" s="1"/>
      <c r="E164" s="1"/>
      <c r="F164" s="5"/>
      <c r="G164" s="16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5"/>
      <c r="D165" s="1"/>
      <c r="E165" s="1"/>
      <c r="F165" s="5"/>
      <c r="G165" s="16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5"/>
      <c r="D166" s="1"/>
      <c r="E166" s="1"/>
      <c r="F166" s="5"/>
      <c r="G166" s="16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5"/>
      <c r="D167" s="1"/>
      <c r="E167" s="1"/>
      <c r="F167" s="5"/>
      <c r="G167" s="16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5"/>
      <c r="D168" s="1"/>
      <c r="E168" s="1"/>
      <c r="F168" s="5"/>
      <c r="G168" s="16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5"/>
      <c r="D169" s="1"/>
      <c r="E169" s="1"/>
      <c r="F169" s="5"/>
      <c r="G169" s="16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5"/>
      <c r="D170" s="1"/>
      <c r="E170" s="1"/>
      <c r="F170" s="5"/>
      <c r="G170" s="16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5"/>
      <c r="D171" s="1"/>
      <c r="E171" s="1"/>
      <c r="F171" s="5"/>
      <c r="G171" s="16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5"/>
      <c r="D172" s="1"/>
      <c r="E172" s="1"/>
      <c r="F172" s="5"/>
      <c r="G172" s="16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5"/>
      <c r="D173" s="1"/>
      <c r="E173" s="1"/>
      <c r="F173" s="5"/>
      <c r="G173" s="16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5"/>
      <c r="D174" s="1"/>
      <c r="E174" s="1"/>
      <c r="F174" s="5"/>
      <c r="G174" s="16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5"/>
      <c r="D175" s="1"/>
      <c r="E175" s="1"/>
      <c r="F175" s="5"/>
      <c r="G175" s="16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5"/>
      <c r="D176" s="1"/>
      <c r="E176" s="1"/>
      <c r="F176" s="5"/>
      <c r="G176" s="16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5"/>
      <c r="D177" s="1"/>
      <c r="E177" s="1"/>
      <c r="F177" s="5"/>
      <c r="G177" s="16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5"/>
      <c r="D178" s="1"/>
      <c r="E178" s="1"/>
      <c r="F178" s="5"/>
      <c r="G178" s="16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5"/>
      <c r="D179" s="1"/>
      <c r="E179" s="1"/>
      <c r="F179" s="5"/>
      <c r="G179" s="16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5"/>
      <c r="D180" s="1"/>
      <c r="E180" s="1"/>
      <c r="F180" s="5"/>
      <c r="G180" s="16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5"/>
      <c r="D181" s="1"/>
      <c r="E181" s="1"/>
      <c r="F181" s="5"/>
      <c r="G181" s="16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5"/>
      <c r="D182" s="1"/>
      <c r="E182" s="1"/>
      <c r="F182" s="5"/>
      <c r="G182" s="16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5"/>
      <c r="D183" s="1"/>
      <c r="E183" s="1"/>
      <c r="F183" s="5"/>
      <c r="G183" s="16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5"/>
      <c r="D184" s="1"/>
      <c r="E184" s="1"/>
      <c r="F184" s="5"/>
      <c r="G184" s="16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5"/>
      <c r="D185" s="1"/>
      <c r="E185" s="1"/>
      <c r="F185" s="5"/>
      <c r="G185" s="16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5"/>
      <c r="D186" s="1"/>
      <c r="E186" s="1"/>
      <c r="F186" s="5"/>
      <c r="G186" s="16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5"/>
      <c r="D187" s="1"/>
      <c r="E187" s="1"/>
      <c r="F187" s="5"/>
      <c r="G187" s="16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5"/>
      <c r="D188" s="1"/>
      <c r="E188" s="1"/>
      <c r="F188" s="5"/>
      <c r="G188" s="16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5"/>
      <c r="D189" s="1"/>
      <c r="E189" s="1"/>
      <c r="F189" s="5"/>
      <c r="G189" s="16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5"/>
      <c r="D190" s="1"/>
      <c r="E190" s="1"/>
      <c r="F190" s="5"/>
      <c r="G190" s="16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5"/>
      <c r="D191" s="1"/>
      <c r="E191" s="1"/>
      <c r="F191" s="5"/>
      <c r="G191" s="16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5"/>
      <c r="D192" s="1"/>
      <c r="E192" s="1"/>
      <c r="F192" s="5"/>
      <c r="G192" s="16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5"/>
      <c r="D193" s="1"/>
      <c r="E193" s="1"/>
      <c r="F193" s="5"/>
      <c r="G193" s="16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5"/>
      <c r="D194" s="1"/>
      <c r="E194" s="1"/>
      <c r="F194" s="5"/>
      <c r="G194" s="16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5"/>
      <c r="D195" s="1"/>
      <c r="E195" s="1"/>
      <c r="F195" s="5"/>
      <c r="G195" s="16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5"/>
      <c r="D196" s="1"/>
      <c r="E196" s="1"/>
      <c r="F196" s="5"/>
      <c r="G196" s="16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5"/>
      <c r="D197" s="1"/>
      <c r="E197" s="1"/>
      <c r="F197" s="5"/>
      <c r="G197" s="16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5"/>
      <c r="D198" s="1"/>
      <c r="E198" s="1"/>
      <c r="F198" s="5"/>
      <c r="G198" s="16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5"/>
      <c r="D199" s="1"/>
      <c r="E199" s="1"/>
      <c r="F199" s="5"/>
      <c r="G199" s="16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5"/>
      <c r="D200" s="1"/>
      <c r="E200" s="1"/>
      <c r="F200" s="5"/>
      <c r="G200" s="16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5"/>
      <c r="D201" s="1"/>
      <c r="E201" s="1"/>
      <c r="F201" s="5"/>
      <c r="G201" s="16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5"/>
      <c r="D202" s="1"/>
      <c r="E202" s="1"/>
      <c r="F202" s="5"/>
      <c r="G202" s="16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5"/>
      <c r="D203" s="1"/>
      <c r="E203" s="1"/>
      <c r="F203" s="5"/>
      <c r="G203" s="16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5"/>
      <c r="D204" s="1"/>
      <c r="E204" s="1"/>
      <c r="F204" s="5"/>
      <c r="G204" s="16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5"/>
      <c r="D205" s="1"/>
      <c r="E205" s="1"/>
      <c r="F205" s="5"/>
      <c r="G205" s="16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5"/>
      <c r="D206" s="1"/>
      <c r="E206" s="1"/>
      <c r="F206" s="5"/>
      <c r="G206" s="16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5"/>
      <c r="D207" s="1"/>
      <c r="E207" s="1"/>
      <c r="F207" s="5"/>
      <c r="G207" s="16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5"/>
      <c r="D208" s="1"/>
      <c r="E208" s="1"/>
      <c r="F208" s="5"/>
      <c r="G208" s="16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5"/>
      <c r="D209" s="1"/>
      <c r="E209" s="1"/>
      <c r="F209" s="5"/>
      <c r="G209" s="16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5"/>
      <c r="D210" s="1"/>
      <c r="E210" s="1"/>
      <c r="F210" s="5"/>
      <c r="G210" s="16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5"/>
      <c r="D211" s="1"/>
      <c r="E211" s="1"/>
      <c r="F211" s="5"/>
      <c r="G211" s="16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5"/>
      <c r="D212" s="1"/>
      <c r="E212" s="1"/>
      <c r="F212" s="5"/>
      <c r="G212" s="16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5"/>
      <c r="D213" s="1"/>
      <c r="E213" s="1"/>
      <c r="F213" s="5"/>
      <c r="G213" s="16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5"/>
      <c r="D214" s="1"/>
      <c r="E214" s="1"/>
      <c r="F214" s="5"/>
      <c r="G214" s="16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5"/>
      <c r="D215" s="1"/>
      <c r="E215" s="1"/>
      <c r="F215" s="5"/>
      <c r="G215" s="16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5"/>
      <c r="D216" s="1"/>
      <c r="E216" s="1"/>
      <c r="F216" s="5"/>
      <c r="G216" s="16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5"/>
      <c r="D217" s="1"/>
      <c r="E217" s="1"/>
      <c r="F217" s="5"/>
      <c r="G217" s="16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5"/>
      <c r="D218" s="1"/>
      <c r="E218" s="1"/>
      <c r="F218" s="5"/>
      <c r="G218" s="16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5"/>
      <c r="D219" s="1"/>
      <c r="E219" s="1"/>
      <c r="F219" s="5"/>
      <c r="G219" s="16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5"/>
      <c r="D220" s="1"/>
      <c r="E220" s="1"/>
      <c r="F220" s="5"/>
      <c r="G220" s="16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5"/>
      <c r="D221" s="1"/>
      <c r="E221" s="1"/>
      <c r="F221" s="5"/>
      <c r="G221" s="16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5"/>
      <c r="D222" s="1"/>
      <c r="E222" s="1"/>
      <c r="F222" s="5"/>
      <c r="G222" s="16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5"/>
      <c r="D223" s="1"/>
      <c r="E223" s="1"/>
      <c r="F223" s="5"/>
      <c r="G223" s="16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5"/>
      <c r="D224" s="1"/>
      <c r="E224" s="1"/>
      <c r="F224" s="5"/>
      <c r="G224" s="16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5"/>
      <c r="D225" s="1"/>
      <c r="E225" s="1"/>
      <c r="F225" s="5"/>
      <c r="G225" s="16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5"/>
      <c r="D226" s="1"/>
      <c r="E226" s="1"/>
      <c r="F226" s="5"/>
      <c r="G226" s="16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5"/>
      <c r="D227" s="1"/>
      <c r="E227" s="1"/>
      <c r="F227" s="5"/>
      <c r="G227" s="16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5"/>
      <c r="D228" s="1"/>
      <c r="E228" s="1"/>
      <c r="F228" s="5"/>
      <c r="G228" s="16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5"/>
      <c r="D229" s="1"/>
      <c r="E229" s="1"/>
      <c r="F229" s="5"/>
      <c r="G229" s="16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5"/>
      <c r="D230" s="1"/>
      <c r="E230" s="1"/>
      <c r="F230" s="5"/>
      <c r="G230" s="16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5"/>
      <c r="D231" s="1"/>
      <c r="E231" s="1"/>
      <c r="F231" s="5"/>
      <c r="G231" s="16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5"/>
      <c r="D232" s="1"/>
      <c r="E232" s="1"/>
      <c r="F232" s="5"/>
      <c r="G232" s="16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5"/>
      <c r="D233" s="1"/>
      <c r="E233" s="1"/>
      <c r="F233" s="5"/>
      <c r="G233" s="16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5"/>
      <c r="D234" s="1"/>
      <c r="E234" s="1"/>
      <c r="F234" s="5"/>
      <c r="G234" s="16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5"/>
      <c r="D235" s="1"/>
      <c r="E235" s="1"/>
      <c r="F235" s="5"/>
      <c r="G235" s="16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5"/>
      <c r="D236" s="1"/>
      <c r="E236" s="1"/>
      <c r="F236" s="5"/>
      <c r="G236" s="16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5"/>
      <c r="D237" s="1"/>
      <c r="E237" s="1"/>
      <c r="F237" s="5"/>
      <c r="G237" s="16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5"/>
      <c r="D238" s="1"/>
      <c r="E238" s="1"/>
      <c r="F238" s="5"/>
      <c r="G238" s="16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5"/>
      <c r="D239" s="1"/>
      <c r="E239" s="1"/>
      <c r="F239" s="5"/>
      <c r="G239" s="16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5"/>
      <c r="D240" s="1"/>
      <c r="E240" s="1"/>
      <c r="F240" s="5"/>
      <c r="G240" s="16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5"/>
      <c r="D241" s="1"/>
      <c r="E241" s="1"/>
      <c r="F241" s="5"/>
      <c r="G241" s="16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5"/>
      <c r="D242" s="1"/>
      <c r="E242" s="1"/>
      <c r="F242" s="5"/>
      <c r="G242" s="16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5"/>
      <c r="D243" s="1"/>
      <c r="E243" s="1"/>
      <c r="F243" s="5"/>
      <c r="G243" s="16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5"/>
      <c r="D244" s="1"/>
      <c r="E244" s="1"/>
      <c r="F244" s="5"/>
      <c r="G244" s="16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5"/>
      <c r="D245" s="1"/>
      <c r="E245" s="1"/>
      <c r="F245" s="5"/>
      <c r="G245" s="16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5"/>
      <c r="D246" s="1"/>
      <c r="E246" s="1"/>
      <c r="F246" s="5"/>
      <c r="G246" s="16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5"/>
      <c r="D247" s="1"/>
      <c r="E247" s="1"/>
      <c r="F247" s="5"/>
      <c r="G247" s="16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5"/>
      <c r="D248" s="1"/>
      <c r="E248" s="1"/>
      <c r="F248" s="5"/>
      <c r="G248" s="16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5"/>
      <c r="D249" s="1"/>
      <c r="E249" s="1"/>
      <c r="F249" s="5"/>
      <c r="G249" s="16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5"/>
      <c r="D250" s="1"/>
      <c r="E250" s="1"/>
      <c r="F250" s="5"/>
      <c r="G250" s="16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5"/>
      <c r="D251" s="1"/>
      <c r="E251" s="1"/>
      <c r="F251" s="5"/>
      <c r="G251" s="16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5"/>
      <c r="D252" s="1"/>
      <c r="E252" s="1"/>
      <c r="F252" s="5"/>
      <c r="G252" s="16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5"/>
      <c r="D253" s="1"/>
      <c r="E253" s="1"/>
      <c r="F253" s="5"/>
      <c r="G253" s="16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5"/>
      <c r="D254" s="1"/>
      <c r="E254" s="1"/>
      <c r="F254" s="5"/>
      <c r="G254" s="16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5"/>
      <c r="D255" s="1"/>
      <c r="E255" s="1"/>
      <c r="F255" s="5"/>
      <c r="G255" s="16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5"/>
      <c r="D256" s="1"/>
      <c r="E256" s="1"/>
      <c r="F256" s="5"/>
      <c r="G256" s="16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5"/>
      <c r="D257" s="1"/>
      <c r="E257" s="1"/>
      <c r="F257" s="5"/>
      <c r="G257" s="16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5"/>
      <c r="D258" s="1"/>
      <c r="E258" s="1"/>
      <c r="F258" s="5"/>
      <c r="G258" s="16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5"/>
      <c r="D259" s="1"/>
      <c r="E259" s="1"/>
      <c r="F259" s="5"/>
      <c r="G259" s="16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5"/>
      <c r="D260" s="1"/>
      <c r="E260" s="1"/>
      <c r="F260" s="5"/>
      <c r="G260" s="16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5"/>
      <c r="D261" s="1"/>
      <c r="E261" s="1"/>
      <c r="F261" s="5"/>
      <c r="G261" s="16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5"/>
      <c r="D262" s="1"/>
      <c r="E262" s="1"/>
      <c r="F262" s="5"/>
      <c r="G262" s="16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5"/>
      <c r="D263" s="1"/>
      <c r="E263" s="1"/>
      <c r="F263" s="5"/>
      <c r="G263" s="16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5"/>
      <c r="D264" s="1"/>
      <c r="E264" s="1"/>
      <c r="F264" s="5"/>
      <c r="G264" s="16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5"/>
      <c r="D265" s="1"/>
      <c r="E265" s="1"/>
      <c r="F265" s="5"/>
      <c r="G265" s="16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5"/>
      <c r="D266" s="1"/>
      <c r="E266" s="1"/>
      <c r="F266" s="5"/>
      <c r="G266" s="16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5"/>
      <c r="D267" s="1"/>
      <c r="E267" s="1"/>
      <c r="F267" s="5"/>
      <c r="G267" s="16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5"/>
      <c r="D268" s="1"/>
      <c r="E268" s="1"/>
      <c r="F268" s="5"/>
      <c r="G268" s="16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5"/>
      <c r="D269" s="1"/>
      <c r="E269" s="1"/>
      <c r="F269" s="5"/>
      <c r="G269" s="16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5"/>
      <c r="D270" s="1"/>
      <c r="E270" s="1"/>
      <c r="F270" s="5"/>
      <c r="G270" s="16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5"/>
      <c r="D271" s="1"/>
      <c r="E271" s="1"/>
      <c r="F271" s="5"/>
      <c r="G271" s="16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5"/>
      <c r="D272" s="1"/>
      <c r="E272" s="1"/>
      <c r="F272" s="5"/>
      <c r="G272" s="16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5"/>
      <c r="D273" s="1"/>
      <c r="E273" s="1"/>
      <c r="F273" s="5"/>
      <c r="G273" s="16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5"/>
      <c r="D274" s="1"/>
      <c r="E274" s="1"/>
      <c r="F274" s="5"/>
      <c r="G274" s="16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5"/>
      <c r="D275" s="1"/>
      <c r="E275" s="1"/>
      <c r="F275" s="5"/>
      <c r="G275" s="16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5"/>
      <c r="D276" s="1"/>
      <c r="E276" s="1"/>
      <c r="F276" s="5"/>
      <c r="G276" s="16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5"/>
      <c r="D277" s="1"/>
      <c r="E277" s="1"/>
      <c r="F277" s="5"/>
      <c r="G277" s="16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5"/>
      <c r="D278" s="1"/>
      <c r="E278" s="1"/>
      <c r="F278" s="5"/>
      <c r="G278" s="16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5"/>
      <c r="D279" s="1"/>
      <c r="E279" s="1"/>
      <c r="F279" s="5"/>
      <c r="G279" s="16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5"/>
      <c r="D280" s="1"/>
      <c r="E280" s="1"/>
      <c r="F280" s="5"/>
      <c r="G280" s="16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5"/>
      <c r="D281" s="1"/>
      <c r="E281" s="1"/>
      <c r="F281" s="5"/>
      <c r="G281" s="16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5"/>
      <c r="D282" s="1"/>
      <c r="E282" s="1"/>
      <c r="F282" s="5"/>
      <c r="G282" s="16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5"/>
      <c r="D283" s="1"/>
      <c r="E283" s="1"/>
      <c r="F283" s="5"/>
      <c r="G283" s="16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5"/>
      <c r="D284" s="1"/>
      <c r="E284" s="1"/>
      <c r="F284" s="5"/>
      <c r="G284" s="16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5"/>
      <c r="D285" s="1"/>
      <c r="E285" s="1"/>
      <c r="F285" s="5"/>
      <c r="G285" s="16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5"/>
      <c r="D286" s="1"/>
      <c r="E286" s="1"/>
      <c r="F286" s="5"/>
      <c r="G286" s="16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5"/>
      <c r="D287" s="1"/>
      <c r="E287" s="1"/>
      <c r="F287" s="5"/>
      <c r="G287" s="16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5"/>
      <c r="D288" s="1"/>
      <c r="E288" s="1"/>
      <c r="F288" s="5"/>
      <c r="G288" s="16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5"/>
      <c r="D289" s="1"/>
      <c r="E289" s="1"/>
      <c r="F289" s="5"/>
      <c r="G289" s="16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5"/>
      <c r="D290" s="1"/>
      <c r="E290" s="1"/>
      <c r="F290" s="5"/>
      <c r="G290" s="16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5"/>
      <c r="D291" s="1"/>
      <c r="E291" s="1"/>
      <c r="F291" s="5"/>
      <c r="G291" s="16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5"/>
      <c r="D292" s="1"/>
      <c r="E292" s="1"/>
      <c r="F292" s="5"/>
      <c r="G292" s="16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5"/>
      <c r="D293" s="1"/>
      <c r="E293" s="1"/>
      <c r="F293" s="5"/>
      <c r="G293" s="16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5"/>
      <c r="D294" s="1"/>
      <c r="E294" s="1"/>
      <c r="F294" s="5"/>
      <c r="G294" s="16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5"/>
      <c r="D295" s="1"/>
      <c r="E295" s="1"/>
      <c r="F295" s="5"/>
      <c r="G295" s="16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5"/>
      <c r="D296" s="1"/>
      <c r="E296" s="1"/>
      <c r="F296" s="5"/>
      <c r="G296" s="16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5"/>
      <c r="D297" s="1"/>
      <c r="E297" s="1"/>
      <c r="F297" s="5"/>
      <c r="G297" s="16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5"/>
      <c r="D298" s="1"/>
      <c r="E298" s="1"/>
      <c r="F298" s="5"/>
      <c r="G298" s="16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5"/>
      <c r="D299" s="1"/>
      <c r="E299" s="1"/>
      <c r="F299" s="5"/>
      <c r="G299" s="16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5"/>
      <c r="D300" s="1"/>
      <c r="E300" s="1"/>
      <c r="F300" s="5"/>
      <c r="G300" s="16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5"/>
      <c r="D301" s="1"/>
      <c r="E301" s="1"/>
      <c r="F301" s="5"/>
      <c r="G301" s="16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5"/>
      <c r="D302" s="1"/>
      <c r="E302" s="1"/>
      <c r="F302" s="5"/>
      <c r="G302" s="16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5"/>
      <c r="D303" s="1"/>
      <c r="E303" s="1"/>
      <c r="F303" s="5"/>
      <c r="G303" s="16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5"/>
      <c r="D304" s="1"/>
      <c r="E304" s="1"/>
      <c r="F304" s="5"/>
      <c r="G304" s="16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5"/>
      <c r="D305" s="1"/>
      <c r="E305" s="1"/>
      <c r="F305" s="5"/>
      <c r="G305" s="16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5"/>
      <c r="D306" s="1"/>
      <c r="E306" s="1"/>
      <c r="F306" s="5"/>
      <c r="G306" s="16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5"/>
      <c r="D307" s="1"/>
      <c r="E307" s="1"/>
      <c r="F307" s="5"/>
      <c r="G307" s="16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5"/>
      <c r="D308" s="1"/>
      <c r="E308" s="1"/>
      <c r="F308" s="5"/>
      <c r="G308" s="16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5"/>
      <c r="D309" s="1"/>
      <c r="E309" s="1"/>
      <c r="F309" s="5"/>
      <c r="G309" s="16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5"/>
      <c r="D310" s="1"/>
      <c r="E310" s="1"/>
      <c r="F310" s="5"/>
      <c r="G310" s="16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5"/>
      <c r="D311" s="1"/>
      <c r="E311" s="1"/>
      <c r="F311" s="5"/>
      <c r="G311" s="16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5"/>
      <c r="D312" s="1"/>
      <c r="E312" s="1"/>
      <c r="F312" s="5"/>
      <c r="G312" s="16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5"/>
      <c r="D313" s="1"/>
      <c r="E313" s="1"/>
      <c r="F313" s="5"/>
      <c r="G313" s="16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5"/>
      <c r="D314" s="1"/>
      <c r="E314" s="1"/>
      <c r="F314" s="5"/>
      <c r="G314" s="16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5"/>
      <c r="D315" s="1"/>
      <c r="E315" s="1"/>
      <c r="F315" s="5"/>
      <c r="G315" s="16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5"/>
      <c r="D316" s="1"/>
      <c r="E316" s="1"/>
      <c r="F316" s="5"/>
      <c r="G316" s="16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5"/>
      <c r="D317" s="1"/>
      <c r="E317" s="1"/>
      <c r="F317" s="5"/>
      <c r="G317" s="16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5"/>
      <c r="D318" s="1"/>
      <c r="E318" s="1"/>
      <c r="F318" s="5"/>
      <c r="G318" s="16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5"/>
      <c r="D319" s="1"/>
      <c r="E319" s="1"/>
      <c r="F319" s="5"/>
      <c r="G319" s="16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5"/>
      <c r="D320" s="1"/>
      <c r="E320" s="1"/>
      <c r="F320" s="5"/>
      <c r="G320" s="16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5"/>
      <c r="D321" s="1"/>
      <c r="E321" s="1"/>
      <c r="F321" s="5"/>
      <c r="G321" s="16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5"/>
      <c r="D322" s="1"/>
      <c r="E322" s="1"/>
      <c r="F322" s="5"/>
      <c r="G322" s="16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5"/>
      <c r="D323" s="1"/>
      <c r="E323" s="1"/>
      <c r="F323" s="5"/>
      <c r="G323" s="16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5"/>
      <c r="D324" s="1"/>
      <c r="E324" s="1"/>
      <c r="F324" s="5"/>
      <c r="G324" s="16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5"/>
      <c r="D325" s="1"/>
      <c r="E325" s="1"/>
      <c r="F325" s="5"/>
      <c r="G325" s="16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5"/>
      <c r="D326" s="1"/>
      <c r="E326" s="1"/>
      <c r="F326" s="5"/>
      <c r="G326" s="16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5"/>
      <c r="D327" s="1"/>
      <c r="E327" s="1"/>
      <c r="F327" s="5"/>
      <c r="G327" s="16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5"/>
      <c r="D328" s="1"/>
      <c r="E328" s="1"/>
      <c r="F328" s="5"/>
      <c r="G328" s="16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5"/>
      <c r="D329" s="1"/>
      <c r="E329" s="1"/>
      <c r="F329" s="5"/>
      <c r="G329" s="16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5"/>
      <c r="D330" s="1"/>
      <c r="E330" s="1"/>
      <c r="F330" s="5"/>
      <c r="G330" s="16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5"/>
      <c r="D331" s="1"/>
      <c r="E331" s="1"/>
      <c r="F331" s="5"/>
      <c r="G331" s="16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5"/>
      <c r="D332" s="1"/>
      <c r="E332" s="1"/>
      <c r="F332" s="5"/>
      <c r="G332" s="16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5"/>
      <c r="D333" s="1"/>
      <c r="E333" s="1"/>
      <c r="F333" s="5"/>
      <c r="G333" s="16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5"/>
      <c r="D334" s="1"/>
      <c r="E334" s="1"/>
      <c r="F334" s="5"/>
      <c r="G334" s="16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5"/>
      <c r="D335" s="1"/>
      <c r="E335" s="1"/>
      <c r="F335" s="5"/>
      <c r="G335" s="16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5"/>
      <c r="D336" s="1"/>
      <c r="E336" s="1"/>
      <c r="F336" s="5"/>
      <c r="G336" s="16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5"/>
      <c r="D337" s="1"/>
      <c r="E337" s="1"/>
      <c r="F337" s="5"/>
      <c r="G337" s="16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5"/>
      <c r="D338" s="1"/>
      <c r="E338" s="1"/>
      <c r="F338" s="5"/>
      <c r="G338" s="16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5"/>
      <c r="D339" s="1"/>
      <c r="E339" s="1"/>
      <c r="F339" s="5"/>
      <c r="G339" s="16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5"/>
      <c r="D340" s="1"/>
      <c r="E340" s="1"/>
      <c r="F340" s="5"/>
      <c r="G340" s="16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5"/>
      <c r="D341" s="1"/>
      <c r="E341" s="1"/>
      <c r="F341" s="5"/>
      <c r="G341" s="16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5"/>
      <c r="D342" s="1"/>
      <c r="E342" s="1"/>
      <c r="F342" s="5"/>
      <c r="G342" s="16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5"/>
      <c r="D343" s="1"/>
      <c r="E343" s="1"/>
      <c r="F343" s="5"/>
      <c r="G343" s="16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5"/>
      <c r="D344" s="1"/>
      <c r="E344" s="1"/>
      <c r="F344" s="5"/>
      <c r="G344" s="16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5"/>
      <c r="D345" s="1"/>
      <c r="E345" s="1"/>
      <c r="F345" s="5"/>
      <c r="G345" s="16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5"/>
      <c r="D346" s="1"/>
      <c r="E346" s="1"/>
      <c r="F346" s="5"/>
      <c r="G346" s="16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5"/>
      <c r="D347" s="1"/>
      <c r="E347" s="1"/>
      <c r="F347" s="5"/>
      <c r="G347" s="16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5"/>
      <c r="D348" s="1"/>
      <c r="E348" s="1"/>
      <c r="F348" s="5"/>
      <c r="G348" s="16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5"/>
      <c r="D349" s="1"/>
      <c r="E349" s="1"/>
      <c r="F349" s="5"/>
      <c r="G349" s="16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5"/>
      <c r="D350" s="1"/>
      <c r="E350" s="1"/>
      <c r="F350" s="5"/>
      <c r="G350" s="16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5"/>
      <c r="D351" s="1"/>
      <c r="E351" s="1"/>
      <c r="F351" s="5"/>
      <c r="G351" s="16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5"/>
      <c r="D352" s="1"/>
      <c r="E352" s="1"/>
      <c r="F352" s="5"/>
      <c r="G352" s="16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5"/>
      <c r="D353" s="1"/>
      <c r="E353" s="1"/>
      <c r="F353" s="5"/>
      <c r="G353" s="16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5"/>
      <c r="D354" s="1"/>
      <c r="E354" s="1"/>
      <c r="F354" s="5"/>
      <c r="G354" s="16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5"/>
      <c r="D355" s="1"/>
      <c r="E355" s="1"/>
      <c r="F355" s="5"/>
      <c r="G355" s="16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5"/>
      <c r="D356" s="1"/>
      <c r="E356" s="1"/>
      <c r="F356" s="5"/>
      <c r="G356" s="16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5"/>
      <c r="D357" s="1"/>
      <c r="E357" s="1"/>
      <c r="F357" s="5"/>
      <c r="G357" s="16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5"/>
      <c r="D358" s="1"/>
      <c r="E358" s="1"/>
      <c r="F358" s="5"/>
      <c r="G358" s="16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5"/>
      <c r="D359" s="1"/>
      <c r="E359" s="1"/>
      <c r="F359" s="5"/>
      <c r="G359" s="16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5"/>
      <c r="D360" s="1"/>
      <c r="E360" s="1"/>
      <c r="F360" s="5"/>
      <c r="G360" s="16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5"/>
      <c r="D361" s="1"/>
      <c r="E361" s="1"/>
      <c r="F361" s="5"/>
      <c r="G361" s="16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5"/>
      <c r="D362" s="1"/>
      <c r="E362" s="1"/>
      <c r="F362" s="5"/>
      <c r="G362" s="16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5"/>
      <c r="D363" s="1"/>
      <c r="E363" s="1"/>
      <c r="F363" s="5"/>
      <c r="G363" s="16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5"/>
      <c r="D364" s="1"/>
      <c r="E364" s="1"/>
      <c r="F364" s="5"/>
      <c r="G364" s="16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5"/>
      <c r="D365" s="1"/>
      <c r="E365" s="1"/>
      <c r="F365" s="5"/>
      <c r="G365" s="16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5"/>
      <c r="D366" s="1"/>
      <c r="E366" s="1"/>
      <c r="F366" s="5"/>
      <c r="G366" s="16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5"/>
      <c r="D367" s="1"/>
      <c r="E367" s="1"/>
      <c r="F367" s="5"/>
      <c r="G367" s="16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5"/>
      <c r="D368" s="1"/>
      <c r="E368" s="1"/>
      <c r="F368" s="5"/>
      <c r="G368" s="16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5"/>
      <c r="D369" s="1"/>
      <c r="E369" s="1"/>
      <c r="F369" s="5"/>
      <c r="G369" s="16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5"/>
      <c r="D370" s="1"/>
      <c r="E370" s="1"/>
      <c r="F370" s="5"/>
      <c r="G370" s="16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5"/>
      <c r="D371" s="1"/>
      <c r="E371" s="1"/>
      <c r="F371" s="5"/>
      <c r="G371" s="16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5"/>
      <c r="D372" s="1"/>
      <c r="E372" s="1"/>
      <c r="F372" s="5"/>
      <c r="G372" s="16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5"/>
      <c r="D373" s="1"/>
      <c r="E373" s="1"/>
      <c r="F373" s="5"/>
      <c r="G373" s="16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5"/>
      <c r="D374" s="1"/>
      <c r="E374" s="1"/>
      <c r="F374" s="5"/>
      <c r="G374" s="16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5"/>
      <c r="D375" s="1"/>
      <c r="E375" s="1"/>
      <c r="F375" s="5"/>
      <c r="G375" s="16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5"/>
      <c r="D376" s="1"/>
      <c r="E376" s="1"/>
      <c r="F376" s="5"/>
      <c r="G376" s="16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5"/>
      <c r="D377" s="1"/>
      <c r="E377" s="1"/>
      <c r="F377" s="5"/>
      <c r="G377" s="16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5"/>
      <c r="D378" s="1"/>
      <c r="E378" s="1"/>
      <c r="F378" s="5"/>
      <c r="G378" s="16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5"/>
      <c r="D379" s="1"/>
      <c r="E379" s="1"/>
      <c r="F379" s="5"/>
      <c r="G379" s="16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5"/>
      <c r="D380" s="1"/>
      <c r="E380" s="1"/>
      <c r="F380" s="5"/>
      <c r="G380" s="16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5"/>
      <c r="D381" s="1"/>
      <c r="E381" s="1"/>
      <c r="F381" s="5"/>
      <c r="G381" s="16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5"/>
      <c r="D382" s="1"/>
      <c r="E382" s="1"/>
      <c r="F382" s="5"/>
      <c r="G382" s="16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5"/>
      <c r="D383" s="1"/>
      <c r="E383" s="1"/>
      <c r="F383" s="5"/>
      <c r="G383" s="16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5"/>
      <c r="D384" s="1"/>
      <c r="E384" s="1"/>
      <c r="F384" s="5"/>
      <c r="G384" s="16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5"/>
      <c r="D385" s="1"/>
      <c r="E385" s="1"/>
      <c r="F385" s="5"/>
      <c r="G385" s="16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5"/>
      <c r="D386" s="1"/>
      <c r="E386" s="1"/>
      <c r="F386" s="5"/>
      <c r="G386" s="16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5"/>
      <c r="D387" s="1"/>
      <c r="E387" s="1"/>
      <c r="F387" s="5"/>
      <c r="G387" s="16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5"/>
      <c r="D388" s="1"/>
      <c r="E388" s="1"/>
      <c r="F388" s="5"/>
      <c r="G388" s="16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5"/>
      <c r="D389" s="1"/>
      <c r="E389" s="1"/>
      <c r="F389" s="5"/>
      <c r="G389" s="16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5"/>
      <c r="D390" s="1"/>
      <c r="E390" s="1"/>
      <c r="F390" s="5"/>
      <c r="G390" s="16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5"/>
      <c r="D391" s="1"/>
      <c r="E391" s="1"/>
      <c r="F391" s="5"/>
      <c r="G391" s="16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5"/>
      <c r="D392" s="1"/>
      <c r="E392" s="1"/>
      <c r="F392" s="5"/>
      <c r="G392" s="16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5"/>
      <c r="D393" s="1"/>
      <c r="E393" s="1"/>
      <c r="F393" s="5"/>
      <c r="G393" s="16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5"/>
      <c r="D394" s="1"/>
      <c r="E394" s="1"/>
      <c r="F394" s="5"/>
      <c r="G394" s="16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5"/>
      <c r="D395" s="1"/>
      <c r="E395" s="1"/>
      <c r="F395" s="5"/>
      <c r="G395" s="16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5"/>
      <c r="D396" s="1"/>
      <c r="E396" s="1"/>
      <c r="F396" s="5"/>
      <c r="G396" s="16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5"/>
      <c r="D397" s="1"/>
      <c r="E397" s="1"/>
      <c r="F397" s="5"/>
      <c r="G397" s="16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5"/>
      <c r="D398" s="1"/>
      <c r="E398" s="1"/>
      <c r="F398" s="5"/>
      <c r="G398" s="16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5"/>
      <c r="D399" s="1"/>
      <c r="E399" s="1"/>
      <c r="F399" s="5"/>
      <c r="G399" s="16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5"/>
      <c r="D400" s="1"/>
      <c r="E400" s="1"/>
      <c r="F400" s="5"/>
      <c r="G400" s="16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5"/>
      <c r="D401" s="1"/>
      <c r="E401" s="1"/>
      <c r="F401" s="5"/>
      <c r="G401" s="16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5"/>
      <c r="D402" s="1"/>
      <c r="E402" s="1"/>
      <c r="F402" s="5"/>
      <c r="G402" s="16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5"/>
      <c r="D403" s="1"/>
      <c r="E403" s="1"/>
      <c r="F403" s="5"/>
      <c r="G403" s="16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5"/>
      <c r="D404" s="1"/>
      <c r="E404" s="1"/>
      <c r="F404" s="5"/>
      <c r="G404" s="16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5"/>
      <c r="D405" s="1"/>
      <c r="E405" s="1"/>
      <c r="F405" s="5"/>
      <c r="G405" s="16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5"/>
      <c r="D406" s="1"/>
      <c r="E406" s="1"/>
      <c r="F406" s="5"/>
      <c r="G406" s="16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5"/>
      <c r="D407" s="1"/>
      <c r="E407" s="1"/>
      <c r="F407" s="5"/>
      <c r="G407" s="16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5"/>
      <c r="D408" s="1"/>
      <c r="E408" s="1"/>
      <c r="F408" s="5"/>
      <c r="G408" s="16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5"/>
      <c r="D409" s="1"/>
      <c r="E409" s="1"/>
      <c r="F409" s="5"/>
      <c r="G409" s="16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5"/>
      <c r="D410" s="1"/>
      <c r="E410" s="1"/>
      <c r="F410" s="5"/>
      <c r="G410" s="16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5"/>
      <c r="D411" s="1"/>
      <c r="E411" s="1"/>
      <c r="F411" s="5"/>
      <c r="G411" s="16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5"/>
      <c r="D412" s="1"/>
      <c r="E412" s="1"/>
      <c r="F412" s="5"/>
      <c r="G412" s="16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5"/>
      <c r="D413" s="1"/>
      <c r="E413" s="1"/>
      <c r="F413" s="5"/>
      <c r="G413" s="16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5"/>
      <c r="D414" s="1"/>
      <c r="E414" s="1"/>
      <c r="F414" s="5"/>
      <c r="G414" s="16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5"/>
      <c r="D415" s="1"/>
      <c r="E415" s="1"/>
      <c r="F415" s="5"/>
      <c r="G415" s="16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5"/>
      <c r="D416" s="1"/>
      <c r="E416" s="1"/>
      <c r="F416" s="5"/>
      <c r="G416" s="16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5"/>
      <c r="D417" s="1"/>
      <c r="E417" s="1"/>
      <c r="F417" s="5"/>
      <c r="G417" s="16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5"/>
      <c r="D418" s="1"/>
      <c r="E418" s="1"/>
      <c r="F418" s="5"/>
      <c r="G418" s="16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5"/>
      <c r="D419" s="1"/>
      <c r="E419" s="1"/>
      <c r="F419" s="5"/>
      <c r="G419" s="16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5"/>
      <c r="D420" s="1"/>
      <c r="E420" s="1"/>
      <c r="F420" s="5"/>
      <c r="G420" s="16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5"/>
      <c r="D421" s="1"/>
      <c r="E421" s="1"/>
      <c r="F421" s="5"/>
      <c r="G421" s="16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5"/>
      <c r="D422" s="1"/>
      <c r="E422" s="1"/>
      <c r="F422" s="5"/>
      <c r="G422" s="16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5"/>
      <c r="D423" s="1"/>
      <c r="E423" s="1"/>
      <c r="F423" s="5"/>
      <c r="G423" s="16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5"/>
      <c r="D424" s="1"/>
      <c r="E424" s="1"/>
      <c r="F424" s="5"/>
      <c r="G424" s="16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5"/>
      <c r="D425" s="1"/>
      <c r="E425" s="1"/>
      <c r="F425" s="5"/>
      <c r="G425" s="16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5"/>
      <c r="D426" s="1"/>
      <c r="E426" s="1"/>
      <c r="F426" s="5"/>
      <c r="G426" s="16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5"/>
      <c r="D427" s="1"/>
      <c r="E427" s="1"/>
      <c r="F427" s="5"/>
      <c r="G427" s="16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5"/>
      <c r="D428" s="1"/>
      <c r="E428" s="1"/>
      <c r="F428" s="5"/>
      <c r="G428" s="16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5"/>
      <c r="D429" s="1"/>
      <c r="E429" s="1"/>
      <c r="F429" s="5"/>
      <c r="G429" s="16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5"/>
      <c r="D430" s="1"/>
      <c r="E430" s="1"/>
      <c r="F430" s="5"/>
      <c r="G430" s="16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5"/>
      <c r="D431" s="1"/>
      <c r="E431" s="1"/>
      <c r="F431" s="5"/>
      <c r="G431" s="16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5"/>
      <c r="D432" s="1"/>
      <c r="E432" s="1"/>
      <c r="F432" s="5"/>
      <c r="G432" s="16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5"/>
      <c r="D433" s="1"/>
      <c r="E433" s="1"/>
      <c r="F433" s="5"/>
      <c r="G433" s="16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5"/>
      <c r="D434" s="1"/>
      <c r="E434" s="1"/>
      <c r="F434" s="5"/>
      <c r="G434" s="16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5"/>
      <c r="D435" s="1"/>
      <c r="E435" s="1"/>
      <c r="F435" s="5"/>
      <c r="G435" s="16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5"/>
      <c r="D436" s="1"/>
      <c r="E436" s="1"/>
      <c r="F436" s="5"/>
      <c r="G436" s="16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5"/>
      <c r="D437" s="1"/>
      <c r="E437" s="1"/>
      <c r="F437" s="5"/>
      <c r="G437" s="16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5"/>
      <c r="D438" s="1"/>
      <c r="E438" s="1"/>
      <c r="F438" s="5"/>
      <c r="G438" s="16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5"/>
      <c r="D439" s="1"/>
      <c r="E439" s="1"/>
      <c r="F439" s="5"/>
      <c r="G439" s="16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5"/>
      <c r="D440" s="1"/>
      <c r="E440" s="1"/>
      <c r="F440" s="5"/>
      <c r="G440" s="16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5"/>
      <c r="D441" s="1"/>
      <c r="E441" s="1"/>
      <c r="F441" s="5"/>
      <c r="G441" s="16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5"/>
      <c r="D442" s="1"/>
      <c r="E442" s="1"/>
      <c r="F442" s="5"/>
      <c r="G442" s="16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5"/>
      <c r="D443" s="1"/>
      <c r="E443" s="1"/>
      <c r="F443" s="5"/>
      <c r="G443" s="16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5"/>
      <c r="D444" s="1"/>
      <c r="E444" s="1"/>
      <c r="F444" s="5"/>
      <c r="G444" s="16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5"/>
      <c r="D445" s="1"/>
      <c r="E445" s="1"/>
      <c r="F445" s="5"/>
      <c r="G445" s="16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5"/>
      <c r="D446" s="1"/>
      <c r="E446" s="1"/>
      <c r="F446" s="5"/>
      <c r="G446" s="16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5"/>
      <c r="D447" s="1"/>
      <c r="E447" s="1"/>
      <c r="F447" s="5"/>
      <c r="G447" s="16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5"/>
      <c r="D448" s="1"/>
      <c r="E448" s="1"/>
      <c r="F448" s="5"/>
      <c r="G448" s="16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5"/>
      <c r="D449" s="1"/>
      <c r="E449" s="1"/>
      <c r="F449" s="5"/>
      <c r="G449" s="16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5"/>
      <c r="D450" s="1"/>
      <c r="E450" s="1"/>
      <c r="F450" s="5"/>
      <c r="G450" s="16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5"/>
      <c r="D451" s="1"/>
      <c r="E451" s="1"/>
      <c r="F451" s="5"/>
      <c r="G451" s="16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5"/>
      <c r="D452" s="1"/>
      <c r="E452" s="1"/>
      <c r="F452" s="5"/>
      <c r="G452" s="16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5"/>
      <c r="D453" s="1"/>
      <c r="E453" s="1"/>
      <c r="F453" s="5"/>
      <c r="G453" s="16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5"/>
      <c r="D454" s="1"/>
      <c r="E454" s="1"/>
      <c r="F454" s="5"/>
      <c r="G454" s="16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5"/>
      <c r="D455" s="1"/>
      <c r="E455" s="1"/>
      <c r="F455" s="5"/>
      <c r="G455" s="16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5"/>
      <c r="D456" s="1"/>
      <c r="E456" s="1"/>
      <c r="F456" s="5"/>
      <c r="G456" s="16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5"/>
      <c r="D457" s="1"/>
      <c r="E457" s="1"/>
      <c r="F457" s="5"/>
      <c r="G457" s="16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5"/>
      <c r="D458" s="1"/>
      <c r="E458" s="1"/>
      <c r="F458" s="5"/>
      <c r="G458" s="16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5"/>
      <c r="D459" s="1"/>
      <c r="E459" s="1"/>
      <c r="F459" s="5"/>
      <c r="G459" s="16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5"/>
      <c r="D460" s="1"/>
      <c r="E460" s="1"/>
      <c r="F460" s="5"/>
      <c r="G460" s="16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5"/>
      <c r="D461" s="1"/>
      <c r="E461" s="1"/>
      <c r="F461" s="5"/>
      <c r="G461" s="16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5"/>
      <c r="D462" s="1"/>
      <c r="E462" s="1"/>
      <c r="F462" s="5"/>
      <c r="G462" s="16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5"/>
      <c r="D463" s="1"/>
      <c r="E463" s="1"/>
      <c r="F463" s="5"/>
      <c r="G463" s="16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5"/>
      <c r="D464" s="1"/>
      <c r="E464" s="1"/>
      <c r="F464" s="5"/>
      <c r="G464" s="16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5"/>
      <c r="D465" s="1"/>
      <c r="E465" s="1"/>
      <c r="F465" s="5"/>
      <c r="G465" s="16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5"/>
      <c r="D466" s="1"/>
      <c r="E466" s="1"/>
      <c r="F466" s="5"/>
      <c r="G466" s="16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5"/>
      <c r="D467" s="1"/>
      <c r="E467" s="1"/>
      <c r="F467" s="5"/>
      <c r="G467" s="16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5"/>
      <c r="D468" s="1"/>
      <c r="E468" s="1"/>
      <c r="F468" s="5"/>
      <c r="G468" s="16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5"/>
      <c r="D469" s="1"/>
      <c r="E469" s="1"/>
      <c r="F469" s="5"/>
      <c r="G469" s="16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5"/>
      <c r="D470" s="1"/>
      <c r="E470" s="1"/>
      <c r="F470" s="5"/>
      <c r="G470" s="16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5"/>
      <c r="D471" s="1"/>
      <c r="E471" s="1"/>
      <c r="F471" s="5"/>
      <c r="G471" s="16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5"/>
      <c r="D472" s="1"/>
      <c r="E472" s="1"/>
      <c r="F472" s="5"/>
      <c r="G472" s="16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5"/>
      <c r="D473" s="1"/>
      <c r="E473" s="1"/>
      <c r="F473" s="5"/>
      <c r="G473" s="16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5"/>
      <c r="D474" s="1"/>
      <c r="E474" s="1"/>
      <c r="F474" s="5"/>
      <c r="G474" s="16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5"/>
      <c r="D475" s="1"/>
      <c r="E475" s="1"/>
      <c r="F475" s="5"/>
      <c r="G475" s="16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5"/>
      <c r="D476" s="1"/>
      <c r="E476" s="1"/>
      <c r="F476" s="5"/>
      <c r="G476" s="16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5"/>
      <c r="D477" s="1"/>
      <c r="E477" s="1"/>
      <c r="F477" s="5"/>
      <c r="G477" s="16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5"/>
      <c r="D478" s="1"/>
      <c r="E478" s="1"/>
      <c r="F478" s="5"/>
      <c r="G478" s="16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5"/>
      <c r="D479" s="1"/>
      <c r="E479" s="1"/>
      <c r="F479" s="5"/>
      <c r="G479" s="16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5"/>
      <c r="D480" s="1"/>
      <c r="E480" s="1"/>
      <c r="F480" s="5"/>
      <c r="G480" s="16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5"/>
      <c r="D481" s="1"/>
      <c r="E481" s="1"/>
      <c r="F481" s="5"/>
      <c r="G481" s="16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5"/>
      <c r="D482" s="1"/>
      <c r="E482" s="1"/>
      <c r="F482" s="5"/>
      <c r="G482" s="16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5"/>
      <c r="D483" s="1"/>
      <c r="E483" s="1"/>
      <c r="F483" s="5"/>
      <c r="G483" s="16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5"/>
      <c r="D484" s="1"/>
      <c r="E484" s="1"/>
      <c r="F484" s="5"/>
      <c r="G484" s="16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5"/>
      <c r="D485" s="1"/>
      <c r="E485" s="1"/>
      <c r="F485" s="5"/>
      <c r="G485" s="16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5"/>
      <c r="D486" s="1"/>
      <c r="E486" s="1"/>
      <c r="F486" s="5"/>
      <c r="G486" s="16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5"/>
      <c r="D487" s="1"/>
      <c r="E487" s="1"/>
      <c r="F487" s="5"/>
      <c r="G487" s="16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5"/>
      <c r="D488" s="1"/>
      <c r="E488" s="1"/>
      <c r="F488" s="5"/>
      <c r="G488" s="16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5"/>
      <c r="D489" s="1"/>
      <c r="E489" s="1"/>
      <c r="F489" s="5"/>
      <c r="G489" s="16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5"/>
      <c r="D490" s="1"/>
      <c r="E490" s="1"/>
      <c r="F490" s="5"/>
      <c r="G490" s="16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5"/>
      <c r="D491" s="1"/>
      <c r="E491" s="1"/>
      <c r="F491" s="5"/>
      <c r="G491" s="16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5"/>
      <c r="D492" s="1"/>
      <c r="E492" s="1"/>
      <c r="F492" s="5"/>
      <c r="G492" s="16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5"/>
      <c r="D493" s="1"/>
      <c r="E493" s="1"/>
      <c r="F493" s="5"/>
      <c r="G493" s="16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5"/>
      <c r="D494" s="1"/>
      <c r="E494" s="1"/>
      <c r="F494" s="5"/>
      <c r="G494" s="16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5"/>
      <c r="D495" s="1"/>
      <c r="E495" s="1"/>
      <c r="F495" s="5"/>
      <c r="G495" s="16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5"/>
      <c r="D496" s="1"/>
      <c r="E496" s="1"/>
      <c r="F496" s="5"/>
      <c r="G496" s="16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5"/>
      <c r="D497" s="1"/>
      <c r="E497" s="1"/>
      <c r="F497" s="5"/>
      <c r="G497" s="16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5"/>
      <c r="D498" s="1"/>
      <c r="E498" s="1"/>
      <c r="F498" s="5"/>
      <c r="G498" s="16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5"/>
      <c r="D499" s="1"/>
      <c r="E499" s="1"/>
      <c r="F499" s="5"/>
      <c r="G499" s="16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5"/>
      <c r="D500" s="1"/>
      <c r="E500" s="1"/>
      <c r="F500" s="5"/>
      <c r="G500" s="16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5"/>
      <c r="D501" s="1"/>
      <c r="E501" s="1"/>
      <c r="F501" s="5"/>
      <c r="G501" s="16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5"/>
      <c r="D502" s="1"/>
      <c r="E502" s="1"/>
      <c r="F502" s="5"/>
      <c r="G502" s="16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5"/>
      <c r="D503" s="1"/>
      <c r="E503" s="1"/>
      <c r="F503" s="5"/>
      <c r="G503" s="16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5"/>
      <c r="D504" s="1"/>
      <c r="E504" s="1"/>
      <c r="F504" s="5"/>
      <c r="G504" s="16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5"/>
      <c r="D505" s="1"/>
      <c r="E505" s="1"/>
      <c r="F505" s="5"/>
      <c r="G505" s="16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5"/>
      <c r="D506" s="1"/>
      <c r="E506" s="1"/>
      <c r="F506" s="5"/>
      <c r="G506" s="16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5"/>
      <c r="D507" s="1"/>
      <c r="E507" s="1"/>
      <c r="F507" s="5"/>
      <c r="G507" s="16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5"/>
      <c r="D508" s="1"/>
      <c r="E508" s="1"/>
      <c r="F508" s="5"/>
      <c r="G508" s="16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5"/>
      <c r="D509" s="1"/>
      <c r="E509" s="1"/>
      <c r="F509" s="5"/>
      <c r="G509" s="16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5"/>
      <c r="D510" s="1"/>
      <c r="E510" s="1"/>
      <c r="F510" s="5"/>
      <c r="G510" s="16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5"/>
      <c r="D511" s="1"/>
      <c r="E511" s="1"/>
      <c r="F511" s="5"/>
      <c r="G511" s="16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5"/>
      <c r="D512" s="1"/>
      <c r="E512" s="1"/>
      <c r="F512" s="5"/>
      <c r="G512" s="16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5"/>
      <c r="D513" s="1"/>
      <c r="E513" s="1"/>
      <c r="F513" s="5"/>
      <c r="G513" s="16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5"/>
      <c r="D514" s="1"/>
      <c r="E514" s="1"/>
      <c r="F514" s="5"/>
      <c r="G514" s="16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5"/>
      <c r="D515" s="1"/>
      <c r="E515" s="1"/>
      <c r="F515" s="5"/>
      <c r="G515" s="16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5"/>
      <c r="D516" s="1"/>
      <c r="E516" s="1"/>
      <c r="F516" s="5"/>
      <c r="G516" s="16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5"/>
      <c r="D517" s="1"/>
      <c r="E517" s="1"/>
      <c r="F517" s="5"/>
      <c r="G517" s="16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5"/>
      <c r="D518" s="1"/>
      <c r="E518" s="1"/>
      <c r="F518" s="5"/>
      <c r="G518" s="16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5"/>
      <c r="D519" s="1"/>
      <c r="E519" s="1"/>
      <c r="F519" s="5"/>
      <c r="G519" s="16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5"/>
      <c r="D520" s="1"/>
      <c r="E520" s="1"/>
      <c r="F520" s="5"/>
      <c r="G520" s="16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5"/>
      <c r="D521" s="1"/>
      <c r="E521" s="1"/>
      <c r="F521" s="5"/>
      <c r="G521" s="16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5"/>
      <c r="D522" s="1"/>
      <c r="E522" s="1"/>
      <c r="F522" s="5"/>
      <c r="G522" s="16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5"/>
      <c r="D523" s="1"/>
      <c r="E523" s="1"/>
      <c r="F523" s="5"/>
      <c r="G523" s="16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5"/>
      <c r="D524" s="1"/>
      <c r="E524" s="1"/>
      <c r="F524" s="5"/>
      <c r="G524" s="16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5"/>
      <c r="D525" s="1"/>
      <c r="E525" s="1"/>
      <c r="F525" s="5"/>
      <c r="G525" s="16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5"/>
      <c r="D526" s="1"/>
      <c r="E526" s="1"/>
      <c r="F526" s="5"/>
      <c r="G526" s="16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5"/>
      <c r="D527" s="1"/>
      <c r="E527" s="1"/>
      <c r="F527" s="5"/>
      <c r="G527" s="16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5"/>
      <c r="D528" s="1"/>
      <c r="E528" s="1"/>
      <c r="F528" s="5"/>
      <c r="G528" s="16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5"/>
      <c r="D529" s="1"/>
      <c r="E529" s="1"/>
      <c r="F529" s="5"/>
      <c r="G529" s="16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5"/>
      <c r="D530" s="1"/>
      <c r="E530" s="1"/>
      <c r="F530" s="5"/>
      <c r="G530" s="16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5"/>
      <c r="D531" s="1"/>
      <c r="E531" s="1"/>
      <c r="F531" s="5"/>
      <c r="G531" s="16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5"/>
      <c r="D532" s="1"/>
      <c r="E532" s="1"/>
      <c r="F532" s="5"/>
      <c r="G532" s="16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5"/>
      <c r="D533" s="1"/>
      <c r="E533" s="1"/>
      <c r="F533" s="5"/>
      <c r="G533" s="16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5"/>
      <c r="D534" s="1"/>
      <c r="E534" s="1"/>
      <c r="F534" s="5"/>
      <c r="G534" s="16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5"/>
      <c r="D535" s="1"/>
      <c r="E535" s="1"/>
      <c r="F535" s="5"/>
      <c r="G535" s="16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5"/>
      <c r="D536" s="1"/>
      <c r="E536" s="1"/>
      <c r="F536" s="5"/>
      <c r="G536" s="16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5"/>
      <c r="D537" s="1"/>
      <c r="E537" s="1"/>
      <c r="F537" s="5"/>
      <c r="G537" s="16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5"/>
      <c r="D538" s="1"/>
      <c r="E538" s="1"/>
      <c r="F538" s="5"/>
      <c r="G538" s="16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5"/>
      <c r="D539" s="1"/>
      <c r="E539" s="1"/>
      <c r="F539" s="5"/>
      <c r="G539" s="16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5"/>
      <c r="D540" s="1"/>
      <c r="E540" s="1"/>
      <c r="F540" s="5"/>
      <c r="G540" s="16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5"/>
      <c r="D541" s="1"/>
      <c r="E541" s="1"/>
      <c r="F541" s="5"/>
      <c r="G541" s="16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5"/>
      <c r="D542" s="1"/>
      <c r="E542" s="1"/>
      <c r="F542" s="5"/>
      <c r="G542" s="16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5"/>
      <c r="D543" s="1"/>
      <c r="E543" s="1"/>
      <c r="F543" s="5"/>
      <c r="G543" s="16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5"/>
      <c r="D544" s="1"/>
      <c r="E544" s="1"/>
      <c r="F544" s="5"/>
      <c r="G544" s="16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5"/>
      <c r="D545" s="1"/>
      <c r="E545" s="1"/>
      <c r="F545" s="5"/>
      <c r="G545" s="16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5"/>
      <c r="D546" s="1"/>
      <c r="E546" s="1"/>
      <c r="F546" s="5"/>
      <c r="G546" s="16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5"/>
      <c r="D547" s="1"/>
      <c r="E547" s="1"/>
      <c r="F547" s="5"/>
      <c r="G547" s="16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5"/>
      <c r="D548" s="1"/>
      <c r="E548" s="1"/>
      <c r="F548" s="5"/>
      <c r="G548" s="16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5"/>
      <c r="D549" s="1"/>
      <c r="E549" s="1"/>
      <c r="F549" s="5"/>
      <c r="G549" s="16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5"/>
      <c r="D550" s="1"/>
      <c r="E550" s="1"/>
      <c r="F550" s="5"/>
      <c r="G550" s="16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5"/>
      <c r="D551" s="1"/>
      <c r="E551" s="1"/>
      <c r="F551" s="5"/>
      <c r="G551" s="16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5"/>
      <c r="D552" s="1"/>
      <c r="E552" s="1"/>
      <c r="F552" s="5"/>
      <c r="G552" s="16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5"/>
      <c r="D553" s="1"/>
      <c r="E553" s="1"/>
      <c r="F553" s="5"/>
      <c r="G553" s="16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5"/>
      <c r="D554" s="1"/>
      <c r="E554" s="1"/>
      <c r="F554" s="5"/>
      <c r="G554" s="16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5"/>
      <c r="D555" s="1"/>
      <c r="E555" s="1"/>
      <c r="F555" s="5"/>
      <c r="G555" s="16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5"/>
      <c r="D556" s="1"/>
      <c r="E556" s="1"/>
      <c r="F556" s="5"/>
      <c r="G556" s="16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5"/>
      <c r="D557" s="1"/>
      <c r="E557" s="1"/>
      <c r="F557" s="5"/>
      <c r="G557" s="16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5"/>
      <c r="D558" s="1"/>
      <c r="E558" s="1"/>
      <c r="F558" s="5"/>
      <c r="G558" s="16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5"/>
      <c r="D559" s="1"/>
      <c r="E559" s="1"/>
      <c r="F559" s="5"/>
      <c r="G559" s="16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5"/>
      <c r="D560" s="1"/>
      <c r="E560" s="1"/>
      <c r="F560" s="5"/>
      <c r="G560" s="16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5"/>
      <c r="D561" s="1"/>
      <c r="E561" s="1"/>
      <c r="F561" s="5"/>
      <c r="G561" s="16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5"/>
      <c r="D562" s="1"/>
      <c r="E562" s="1"/>
      <c r="F562" s="5"/>
      <c r="G562" s="16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5"/>
      <c r="D563" s="1"/>
      <c r="E563" s="1"/>
      <c r="F563" s="5"/>
      <c r="G563" s="16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5"/>
      <c r="D564" s="1"/>
      <c r="E564" s="1"/>
      <c r="F564" s="5"/>
      <c r="G564" s="16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5"/>
      <c r="D565" s="1"/>
      <c r="E565" s="1"/>
      <c r="F565" s="5"/>
      <c r="G565" s="16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5"/>
      <c r="D566" s="1"/>
      <c r="E566" s="1"/>
      <c r="F566" s="5"/>
      <c r="G566" s="16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5"/>
      <c r="D567" s="1"/>
      <c r="E567" s="1"/>
      <c r="F567" s="5"/>
      <c r="G567" s="16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5"/>
      <c r="D568" s="1"/>
      <c r="E568" s="1"/>
      <c r="F568" s="5"/>
      <c r="G568" s="16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5"/>
      <c r="D569" s="1"/>
      <c r="E569" s="1"/>
      <c r="F569" s="5"/>
      <c r="G569" s="16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5"/>
      <c r="D570" s="1"/>
      <c r="E570" s="1"/>
      <c r="F570" s="5"/>
      <c r="G570" s="16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5"/>
      <c r="D571" s="1"/>
      <c r="E571" s="1"/>
      <c r="F571" s="5"/>
      <c r="G571" s="16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5"/>
      <c r="D572" s="1"/>
      <c r="E572" s="1"/>
      <c r="F572" s="5"/>
      <c r="G572" s="16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5"/>
      <c r="D573" s="1"/>
      <c r="E573" s="1"/>
      <c r="F573" s="5"/>
      <c r="G573" s="16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5"/>
      <c r="D574" s="1"/>
      <c r="E574" s="1"/>
      <c r="F574" s="5"/>
      <c r="G574" s="16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5"/>
      <c r="D575" s="1"/>
      <c r="E575" s="1"/>
      <c r="F575" s="5"/>
      <c r="G575" s="16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5"/>
      <c r="D576" s="1"/>
      <c r="E576" s="1"/>
      <c r="F576" s="5"/>
      <c r="G576" s="16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5"/>
      <c r="D577" s="1"/>
      <c r="E577" s="1"/>
      <c r="F577" s="5"/>
      <c r="G577" s="16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5"/>
      <c r="D578" s="1"/>
      <c r="E578" s="1"/>
      <c r="F578" s="5"/>
      <c r="G578" s="16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5"/>
      <c r="D579" s="1"/>
      <c r="E579" s="1"/>
      <c r="F579" s="5"/>
      <c r="G579" s="16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5"/>
      <c r="D580" s="1"/>
      <c r="E580" s="1"/>
      <c r="F580" s="5"/>
      <c r="G580" s="16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5"/>
      <c r="D581" s="1"/>
      <c r="E581" s="1"/>
      <c r="F581" s="5"/>
      <c r="G581" s="16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5"/>
      <c r="D582" s="1"/>
      <c r="E582" s="1"/>
      <c r="F582" s="5"/>
      <c r="G582" s="16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5"/>
      <c r="D583" s="1"/>
      <c r="E583" s="1"/>
      <c r="F583" s="5"/>
      <c r="G583" s="16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5"/>
      <c r="D584" s="1"/>
      <c r="E584" s="1"/>
      <c r="F584" s="5"/>
      <c r="G584" s="16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5"/>
      <c r="D585" s="1"/>
      <c r="E585" s="1"/>
      <c r="F585" s="5"/>
      <c r="G585" s="16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5"/>
      <c r="D586" s="1"/>
      <c r="E586" s="1"/>
      <c r="F586" s="5"/>
      <c r="G586" s="16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5"/>
      <c r="D587" s="1"/>
      <c r="E587" s="1"/>
      <c r="F587" s="5"/>
      <c r="G587" s="16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5"/>
      <c r="D588" s="1"/>
      <c r="E588" s="1"/>
      <c r="F588" s="5"/>
      <c r="G588" s="16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5"/>
      <c r="D589" s="1"/>
      <c r="E589" s="1"/>
      <c r="F589" s="5"/>
      <c r="G589" s="16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5"/>
      <c r="D590" s="1"/>
      <c r="E590" s="1"/>
      <c r="F590" s="5"/>
      <c r="G590" s="16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5"/>
      <c r="D591" s="1"/>
      <c r="E591" s="1"/>
      <c r="F591" s="5"/>
      <c r="G591" s="16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5"/>
      <c r="D592" s="1"/>
      <c r="E592" s="1"/>
      <c r="F592" s="5"/>
      <c r="G592" s="16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5"/>
      <c r="D593" s="1"/>
      <c r="E593" s="1"/>
      <c r="F593" s="5"/>
      <c r="G593" s="16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5"/>
      <c r="D594" s="1"/>
      <c r="E594" s="1"/>
      <c r="F594" s="5"/>
      <c r="G594" s="16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5"/>
      <c r="D595" s="1"/>
      <c r="E595" s="1"/>
      <c r="F595" s="5"/>
      <c r="G595" s="16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5"/>
      <c r="D596" s="1"/>
      <c r="E596" s="1"/>
      <c r="F596" s="5"/>
      <c r="G596" s="16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5"/>
      <c r="D597" s="1"/>
      <c r="E597" s="1"/>
      <c r="F597" s="5"/>
      <c r="G597" s="16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5"/>
      <c r="D598" s="1"/>
      <c r="E598" s="1"/>
      <c r="F598" s="5"/>
      <c r="G598" s="16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5"/>
      <c r="D599" s="1"/>
      <c r="E599" s="1"/>
      <c r="F599" s="5"/>
      <c r="G599" s="16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5"/>
      <c r="D600" s="1"/>
      <c r="E600" s="1"/>
      <c r="F600" s="5"/>
      <c r="G600" s="16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5"/>
      <c r="D601" s="1"/>
      <c r="E601" s="1"/>
      <c r="F601" s="5"/>
      <c r="G601" s="16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5"/>
      <c r="D602" s="1"/>
      <c r="E602" s="1"/>
      <c r="F602" s="5"/>
      <c r="G602" s="16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5"/>
      <c r="D603" s="1"/>
      <c r="E603" s="1"/>
      <c r="F603" s="5"/>
      <c r="G603" s="16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5"/>
      <c r="D604" s="1"/>
      <c r="E604" s="1"/>
      <c r="F604" s="5"/>
      <c r="G604" s="16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5"/>
      <c r="D605" s="1"/>
      <c r="E605" s="1"/>
      <c r="F605" s="5"/>
      <c r="G605" s="16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5"/>
      <c r="D606" s="1"/>
      <c r="E606" s="1"/>
      <c r="F606" s="5"/>
      <c r="G606" s="16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5"/>
      <c r="D607" s="1"/>
      <c r="E607" s="1"/>
      <c r="F607" s="5"/>
      <c r="G607" s="16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5"/>
      <c r="D608" s="1"/>
      <c r="E608" s="1"/>
      <c r="F608" s="5"/>
      <c r="G608" s="16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5"/>
      <c r="D609" s="1"/>
      <c r="E609" s="1"/>
      <c r="F609" s="5"/>
      <c r="G609" s="16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5"/>
      <c r="D610" s="1"/>
      <c r="E610" s="1"/>
      <c r="F610" s="5"/>
      <c r="G610" s="16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5"/>
      <c r="D611" s="1"/>
      <c r="E611" s="1"/>
      <c r="F611" s="5"/>
      <c r="G611" s="16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5"/>
      <c r="D612" s="1"/>
      <c r="E612" s="1"/>
      <c r="F612" s="5"/>
      <c r="G612" s="16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5"/>
      <c r="D613" s="1"/>
      <c r="E613" s="1"/>
      <c r="F613" s="5"/>
      <c r="G613" s="16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5"/>
      <c r="D614" s="1"/>
      <c r="E614" s="1"/>
      <c r="F614" s="5"/>
      <c r="G614" s="16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5"/>
      <c r="D615" s="1"/>
      <c r="E615" s="1"/>
      <c r="F615" s="5"/>
      <c r="G615" s="16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5"/>
      <c r="D616" s="1"/>
      <c r="E616" s="1"/>
      <c r="F616" s="5"/>
      <c r="G616" s="16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5"/>
      <c r="D617" s="1"/>
      <c r="E617" s="1"/>
      <c r="F617" s="5"/>
      <c r="G617" s="16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5"/>
      <c r="D618" s="1"/>
      <c r="E618" s="1"/>
      <c r="F618" s="5"/>
      <c r="G618" s="16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5"/>
      <c r="D619" s="1"/>
      <c r="E619" s="1"/>
      <c r="F619" s="5"/>
      <c r="G619" s="16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5"/>
      <c r="D620" s="1"/>
      <c r="E620" s="1"/>
      <c r="F620" s="5"/>
      <c r="G620" s="16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5"/>
      <c r="D621" s="1"/>
      <c r="E621" s="1"/>
      <c r="F621" s="5"/>
      <c r="G621" s="16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5"/>
      <c r="D622" s="1"/>
      <c r="E622" s="1"/>
      <c r="F622" s="5"/>
      <c r="G622" s="16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5"/>
      <c r="D623" s="1"/>
      <c r="E623" s="1"/>
      <c r="F623" s="5"/>
      <c r="G623" s="16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5"/>
      <c r="D624" s="1"/>
      <c r="E624" s="1"/>
      <c r="F624" s="5"/>
      <c r="G624" s="16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5"/>
      <c r="D625" s="1"/>
      <c r="E625" s="1"/>
      <c r="F625" s="5"/>
      <c r="G625" s="16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5"/>
      <c r="D626" s="1"/>
      <c r="E626" s="1"/>
      <c r="F626" s="5"/>
      <c r="G626" s="16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5"/>
      <c r="D627" s="1"/>
      <c r="E627" s="1"/>
      <c r="F627" s="5"/>
      <c r="G627" s="16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5"/>
      <c r="D628" s="1"/>
      <c r="E628" s="1"/>
      <c r="F628" s="5"/>
      <c r="G628" s="16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5"/>
      <c r="D629" s="1"/>
      <c r="E629" s="1"/>
      <c r="F629" s="5"/>
      <c r="G629" s="16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5"/>
      <c r="D630" s="1"/>
      <c r="E630" s="1"/>
      <c r="F630" s="5"/>
      <c r="G630" s="16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5"/>
      <c r="D631" s="1"/>
      <c r="E631" s="1"/>
      <c r="F631" s="5"/>
      <c r="G631" s="16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5"/>
      <c r="D632" s="1"/>
      <c r="E632" s="1"/>
      <c r="F632" s="5"/>
      <c r="G632" s="16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5"/>
      <c r="D633" s="1"/>
      <c r="E633" s="1"/>
      <c r="F633" s="5"/>
      <c r="G633" s="16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5"/>
      <c r="D634" s="1"/>
      <c r="E634" s="1"/>
      <c r="F634" s="5"/>
      <c r="G634" s="16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5"/>
      <c r="D635" s="1"/>
      <c r="E635" s="1"/>
      <c r="F635" s="5"/>
      <c r="G635" s="16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5"/>
      <c r="D636" s="1"/>
      <c r="E636" s="1"/>
      <c r="F636" s="5"/>
      <c r="G636" s="16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5"/>
      <c r="D637" s="1"/>
      <c r="E637" s="1"/>
      <c r="F637" s="5"/>
      <c r="G637" s="16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5"/>
      <c r="D638" s="1"/>
      <c r="E638" s="1"/>
      <c r="F638" s="5"/>
      <c r="G638" s="16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5"/>
      <c r="D639" s="1"/>
      <c r="E639" s="1"/>
      <c r="F639" s="5"/>
      <c r="G639" s="16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5"/>
      <c r="D640" s="1"/>
      <c r="E640" s="1"/>
      <c r="F640" s="5"/>
      <c r="G640" s="16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5"/>
      <c r="D641" s="1"/>
      <c r="E641" s="1"/>
      <c r="F641" s="5"/>
      <c r="G641" s="16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5"/>
      <c r="D642" s="1"/>
      <c r="E642" s="1"/>
      <c r="F642" s="5"/>
      <c r="G642" s="16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5"/>
      <c r="D643" s="1"/>
      <c r="E643" s="1"/>
      <c r="F643" s="5"/>
      <c r="G643" s="16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5"/>
      <c r="D644" s="1"/>
      <c r="E644" s="1"/>
      <c r="F644" s="5"/>
      <c r="G644" s="16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5"/>
      <c r="D645" s="1"/>
      <c r="E645" s="1"/>
      <c r="F645" s="5"/>
      <c r="G645" s="16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5"/>
      <c r="D646" s="1"/>
      <c r="E646" s="1"/>
      <c r="F646" s="5"/>
      <c r="G646" s="16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5"/>
      <c r="D647" s="1"/>
      <c r="E647" s="1"/>
      <c r="F647" s="5"/>
      <c r="G647" s="16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5"/>
      <c r="D648" s="1"/>
      <c r="E648" s="1"/>
      <c r="F648" s="5"/>
      <c r="G648" s="16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5"/>
      <c r="D649" s="1"/>
      <c r="E649" s="1"/>
      <c r="F649" s="5"/>
      <c r="G649" s="16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5"/>
      <c r="D650" s="1"/>
      <c r="E650" s="1"/>
      <c r="F650" s="5"/>
      <c r="G650" s="16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5"/>
      <c r="D651" s="1"/>
      <c r="E651" s="1"/>
      <c r="F651" s="5"/>
      <c r="G651" s="16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5"/>
      <c r="D652" s="1"/>
      <c r="E652" s="1"/>
      <c r="F652" s="5"/>
      <c r="G652" s="16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5"/>
      <c r="D653" s="1"/>
      <c r="E653" s="1"/>
      <c r="F653" s="5"/>
      <c r="G653" s="16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5"/>
      <c r="D654" s="1"/>
      <c r="E654" s="1"/>
      <c r="F654" s="5"/>
      <c r="G654" s="16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5"/>
      <c r="D655" s="1"/>
      <c r="E655" s="1"/>
      <c r="F655" s="5"/>
      <c r="G655" s="16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5"/>
      <c r="D656" s="1"/>
      <c r="E656" s="1"/>
      <c r="F656" s="5"/>
      <c r="G656" s="16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5"/>
      <c r="D657" s="1"/>
      <c r="E657" s="1"/>
      <c r="F657" s="5"/>
      <c r="G657" s="16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5"/>
      <c r="D658" s="1"/>
      <c r="E658" s="1"/>
      <c r="F658" s="5"/>
      <c r="G658" s="16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5"/>
      <c r="D659" s="1"/>
      <c r="E659" s="1"/>
      <c r="F659" s="5"/>
      <c r="G659" s="16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5"/>
      <c r="D660" s="1"/>
      <c r="E660" s="1"/>
      <c r="F660" s="5"/>
      <c r="G660" s="16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5"/>
      <c r="D661" s="1"/>
      <c r="E661" s="1"/>
      <c r="F661" s="5"/>
      <c r="G661" s="16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5"/>
      <c r="D662" s="1"/>
      <c r="E662" s="1"/>
      <c r="F662" s="5"/>
      <c r="G662" s="16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5"/>
      <c r="D663" s="1"/>
      <c r="E663" s="1"/>
      <c r="F663" s="5"/>
      <c r="G663" s="16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5"/>
      <c r="D664" s="1"/>
      <c r="E664" s="1"/>
      <c r="F664" s="5"/>
      <c r="G664" s="16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5"/>
      <c r="D665" s="1"/>
      <c r="E665" s="1"/>
      <c r="F665" s="5"/>
      <c r="G665" s="16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5"/>
      <c r="D666" s="1"/>
      <c r="E666" s="1"/>
      <c r="F666" s="5"/>
      <c r="G666" s="16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5"/>
      <c r="D667" s="1"/>
      <c r="E667" s="1"/>
      <c r="F667" s="5"/>
      <c r="G667" s="16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5"/>
      <c r="D668" s="1"/>
      <c r="E668" s="1"/>
      <c r="F668" s="5"/>
      <c r="G668" s="16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5"/>
      <c r="D669" s="1"/>
      <c r="E669" s="1"/>
      <c r="F669" s="5"/>
      <c r="G669" s="16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5"/>
      <c r="D670" s="1"/>
      <c r="E670" s="1"/>
      <c r="F670" s="5"/>
      <c r="G670" s="16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5"/>
      <c r="D671" s="1"/>
      <c r="E671" s="1"/>
      <c r="F671" s="5"/>
      <c r="G671" s="16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5"/>
      <c r="D672" s="1"/>
      <c r="E672" s="1"/>
      <c r="F672" s="5"/>
      <c r="G672" s="16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5"/>
      <c r="D673" s="1"/>
      <c r="E673" s="1"/>
      <c r="F673" s="5"/>
      <c r="G673" s="16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5"/>
      <c r="D674" s="1"/>
      <c r="E674" s="1"/>
      <c r="F674" s="5"/>
      <c r="G674" s="16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5"/>
      <c r="D675" s="1"/>
      <c r="E675" s="1"/>
      <c r="F675" s="5"/>
      <c r="G675" s="16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5"/>
      <c r="D676" s="1"/>
      <c r="E676" s="1"/>
      <c r="F676" s="5"/>
      <c r="G676" s="16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5"/>
      <c r="D677" s="1"/>
      <c r="E677" s="1"/>
      <c r="F677" s="5"/>
      <c r="G677" s="16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5"/>
      <c r="D678" s="1"/>
      <c r="E678" s="1"/>
      <c r="F678" s="5"/>
      <c r="G678" s="16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5"/>
      <c r="D679" s="1"/>
      <c r="E679" s="1"/>
      <c r="F679" s="5"/>
      <c r="G679" s="16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5"/>
      <c r="D680" s="1"/>
      <c r="E680" s="1"/>
      <c r="F680" s="5"/>
      <c r="G680" s="16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5"/>
      <c r="D681" s="1"/>
      <c r="E681" s="1"/>
      <c r="F681" s="5"/>
      <c r="G681" s="16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5"/>
      <c r="D682" s="1"/>
      <c r="E682" s="1"/>
      <c r="F682" s="5"/>
      <c r="G682" s="16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5"/>
      <c r="D683" s="1"/>
      <c r="E683" s="1"/>
      <c r="F683" s="5"/>
      <c r="G683" s="16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5"/>
      <c r="D684" s="1"/>
      <c r="E684" s="1"/>
      <c r="F684" s="5"/>
      <c r="G684" s="16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5"/>
      <c r="D685" s="1"/>
      <c r="E685" s="1"/>
      <c r="F685" s="5"/>
      <c r="G685" s="16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5"/>
      <c r="D686" s="1"/>
      <c r="E686" s="1"/>
      <c r="F686" s="5"/>
      <c r="G686" s="16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5"/>
      <c r="D687" s="1"/>
      <c r="E687" s="1"/>
      <c r="F687" s="5"/>
      <c r="G687" s="16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5"/>
      <c r="D688" s="1"/>
      <c r="E688" s="1"/>
      <c r="F688" s="5"/>
      <c r="G688" s="16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5"/>
      <c r="D689" s="1"/>
      <c r="E689" s="1"/>
      <c r="F689" s="5"/>
      <c r="G689" s="16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5"/>
      <c r="D690" s="1"/>
      <c r="E690" s="1"/>
      <c r="F690" s="5"/>
      <c r="G690" s="16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5"/>
      <c r="D691" s="1"/>
      <c r="E691" s="1"/>
      <c r="F691" s="5"/>
      <c r="G691" s="16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5"/>
      <c r="D692" s="1"/>
      <c r="E692" s="1"/>
      <c r="F692" s="5"/>
      <c r="G692" s="16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5"/>
      <c r="D693" s="1"/>
      <c r="E693" s="1"/>
      <c r="F693" s="5"/>
      <c r="G693" s="16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5"/>
      <c r="D694" s="1"/>
      <c r="E694" s="1"/>
      <c r="F694" s="5"/>
      <c r="G694" s="16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5"/>
      <c r="D695" s="1"/>
      <c r="E695" s="1"/>
      <c r="F695" s="5"/>
      <c r="G695" s="16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5"/>
      <c r="D696" s="1"/>
      <c r="E696" s="1"/>
      <c r="F696" s="5"/>
      <c r="G696" s="16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5"/>
      <c r="D697" s="1"/>
      <c r="E697" s="1"/>
      <c r="F697" s="5"/>
      <c r="G697" s="16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5"/>
      <c r="D698" s="1"/>
      <c r="E698" s="1"/>
      <c r="F698" s="5"/>
      <c r="G698" s="16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5"/>
      <c r="D699" s="1"/>
      <c r="E699" s="1"/>
      <c r="F699" s="5"/>
      <c r="G699" s="16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5"/>
      <c r="D700" s="1"/>
      <c r="E700" s="1"/>
      <c r="F700" s="5"/>
      <c r="G700" s="16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5"/>
      <c r="D701" s="1"/>
      <c r="E701" s="1"/>
      <c r="F701" s="5"/>
      <c r="G701" s="16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5"/>
      <c r="D702" s="1"/>
      <c r="E702" s="1"/>
      <c r="F702" s="5"/>
      <c r="G702" s="16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5"/>
      <c r="D703" s="1"/>
      <c r="E703" s="1"/>
      <c r="F703" s="5"/>
      <c r="G703" s="16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5"/>
      <c r="D704" s="1"/>
      <c r="E704" s="1"/>
      <c r="F704" s="5"/>
      <c r="G704" s="16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5"/>
      <c r="D705" s="1"/>
      <c r="E705" s="1"/>
      <c r="F705" s="5"/>
      <c r="G705" s="16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5"/>
      <c r="D706" s="1"/>
      <c r="E706" s="1"/>
      <c r="F706" s="5"/>
      <c r="G706" s="16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5"/>
      <c r="D707" s="1"/>
      <c r="E707" s="1"/>
      <c r="F707" s="5"/>
      <c r="G707" s="16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5"/>
      <c r="D708" s="1"/>
      <c r="E708" s="1"/>
      <c r="F708" s="5"/>
      <c r="G708" s="16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5"/>
      <c r="D709" s="1"/>
      <c r="E709" s="1"/>
      <c r="F709" s="5"/>
      <c r="G709" s="16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5"/>
      <c r="D710" s="1"/>
      <c r="E710" s="1"/>
      <c r="F710" s="5"/>
      <c r="G710" s="16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5"/>
      <c r="D711" s="1"/>
      <c r="E711" s="1"/>
      <c r="F711" s="5"/>
      <c r="G711" s="16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5"/>
      <c r="D712" s="1"/>
      <c r="E712" s="1"/>
      <c r="F712" s="5"/>
      <c r="G712" s="16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5"/>
      <c r="D713" s="1"/>
      <c r="E713" s="1"/>
      <c r="F713" s="5"/>
      <c r="G713" s="16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5"/>
      <c r="D714" s="1"/>
      <c r="E714" s="1"/>
      <c r="F714" s="5"/>
      <c r="G714" s="16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5"/>
      <c r="D715" s="1"/>
      <c r="E715" s="1"/>
      <c r="F715" s="5"/>
      <c r="G715" s="16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5"/>
      <c r="D716" s="1"/>
      <c r="E716" s="1"/>
      <c r="F716" s="5"/>
      <c r="G716" s="16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5"/>
      <c r="D717" s="1"/>
      <c r="E717" s="1"/>
      <c r="F717" s="5"/>
      <c r="G717" s="16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5"/>
      <c r="D718" s="1"/>
      <c r="E718" s="1"/>
      <c r="F718" s="5"/>
      <c r="G718" s="16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5"/>
      <c r="D719" s="1"/>
      <c r="E719" s="1"/>
      <c r="F719" s="5"/>
      <c r="G719" s="16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5"/>
      <c r="D720" s="1"/>
      <c r="E720" s="1"/>
      <c r="F720" s="5"/>
      <c r="G720" s="16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5"/>
      <c r="D721" s="1"/>
      <c r="E721" s="1"/>
      <c r="F721" s="5"/>
      <c r="G721" s="16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5"/>
      <c r="D722" s="1"/>
      <c r="E722" s="1"/>
      <c r="F722" s="5"/>
      <c r="G722" s="16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5"/>
      <c r="D723" s="1"/>
      <c r="E723" s="1"/>
      <c r="F723" s="5"/>
      <c r="G723" s="16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5"/>
      <c r="D724" s="1"/>
      <c r="E724" s="1"/>
      <c r="F724" s="5"/>
      <c r="G724" s="16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5"/>
      <c r="D725" s="1"/>
      <c r="E725" s="1"/>
      <c r="F725" s="5"/>
      <c r="G725" s="16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5"/>
      <c r="D726" s="1"/>
      <c r="E726" s="1"/>
      <c r="F726" s="5"/>
      <c r="G726" s="16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5"/>
      <c r="D727" s="1"/>
      <c r="E727" s="1"/>
      <c r="F727" s="5"/>
      <c r="G727" s="16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5"/>
      <c r="D728" s="1"/>
      <c r="E728" s="1"/>
      <c r="F728" s="5"/>
      <c r="G728" s="16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5"/>
      <c r="D729" s="1"/>
      <c r="E729" s="1"/>
      <c r="F729" s="5"/>
      <c r="G729" s="16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5"/>
      <c r="D730" s="1"/>
      <c r="E730" s="1"/>
      <c r="F730" s="5"/>
      <c r="G730" s="16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5"/>
      <c r="D731" s="1"/>
      <c r="E731" s="1"/>
      <c r="F731" s="5"/>
      <c r="G731" s="16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5"/>
      <c r="D732" s="1"/>
      <c r="E732" s="1"/>
      <c r="F732" s="5"/>
      <c r="G732" s="16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5"/>
      <c r="D733" s="1"/>
      <c r="E733" s="1"/>
      <c r="F733" s="5"/>
      <c r="G733" s="16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5"/>
      <c r="D734" s="1"/>
      <c r="E734" s="1"/>
      <c r="F734" s="5"/>
      <c r="G734" s="16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5"/>
      <c r="D735" s="1"/>
      <c r="E735" s="1"/>
      <c r="F735" s="5"/>
      <c r="G735" s="16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5"/>
      <c r="D736" s="1"/>
      <c r="E736" s="1"/>
      <c r="F736" s="5"/>
      <c r="G736" s="16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5"/>
      <c r="D737" s="1"/>
      <c r="E737" s="1"/>
      <c r="F737" s="5"/>
      <c r="G737" s="16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5"/>
      <c r="D738" s="1"/>
      <c r="E738" s="1"/>
      <c r="F738" s="5"/>
      <c r="G738" s="16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5"/>
      <c r="D739" s="1"/>
      <c r="E739" s="1"/>
      <c r="F739" s="5"/>
      <c r="G739" s="16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5"/>
      <c r="D740" s="1"/>
      <c r="E740" s="1"/>
      <c r="F740" s="5"/>
      <c r="G740" s="16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5"/>
      <c r="D741" s="1"/>
      <c r="E741" s="1"/>
      <c r="F741" s="5"/>
      <c r="G741" s="16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5"/>
      <c r="D742" s="1"/>
      <c r="E742" s="1"/>
      <c r="F742" s="5"/>
      <c r="G742" s="16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5"/>
      <c r="D743" s="1"/>
      <c r="E743" s="1"/>
      <c r="F743" s="5"/>
      <c r="G743" s="16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5"/>
      <c r="D744" s="1"/>
      <c r="E744" s="1"/>
      <c r="F744" s="5"/>
      <c r="G744" s="16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5"/>
      <c r="D745" s="1"/>
      <c r="E745" s="1"/>
      <c r="F745" s="5"/>
      <c r="G745" s="16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5"/>
      <c r="D746" s="1"/>
      <c r="E746" s="1"/>
      <c r="F746" s="5"/>
      <c r="G746" s="16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5"/>
      <c r="D747" s="1"/>
      <c r="E747" s="1"/>
      <c r="F747" s="5"/>
      <c r="G747" s="16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5"/>
      <c r="D748" s="1"/>
      <c r="E748" s="1"/>
      <c r="F748" s="5"/>
      <c r="G748" s="16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5"/>
      <c r="D749" s="1"/>
      <c r="E749" s="1"/>
      <c r="F749" s="5"/>
      <c r="G749" s="16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5"/>
      <c r="D750" s="1"/>
      <c r="E750" s="1"/>
      <c r="F750" s="5"/>
      <c r="G750" s="16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5"/>
      <c r="D751" s="1"/>
      <c r="E751" s="1"/>
      <c r="F751" s="5"/>
      <c r="G751" s="16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5"/>
      <c r="D752" s="1"/>
      <c r="E752" s="1"/>
      <c r="F752" s="5"/>
      <c r="G752" s="16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5"/>
      <c r="D753" s="1"/>
      <c r="E753" s="1"/>
      <c r="F753" s="5"/>
      <c r="G753" s="16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5"/>
      <c r="D754" s="1"/>
      <c r="E754" s="1"/>
      <c r="F754" s="5"/>
      <c r="G754" s="16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5"/>
      <c r="D755" s="1"/>
      <c r="E755" s="1"/>
      <c r="F755" s="5"/>
      <c r="G755" s="16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5"/>
      <c r="D756" s="1"/>
      <c r="E756" s="1"/>
      <c r="F756" s="5"/>
      <c r="G756" s="16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5"/>
      <c r="D757" s="1"/>
      <c r="E757" s="1"/>
      <c r="F757" s="5"/>
      <c r="G757" s="16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5"/>
      <c r="D758" s="1"/>
      <c r="E758" s="1"/>
      <c r="F758" s="5"/>
      <c r="G758" s="16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5"/>
      <c r="D759" s="1"/>
      <c r="E759" s="1"/>
      <c r="F759" s="5"/>
      <c r="G759" s="16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5"/>
      <c r="D760" s="1"/>
      <c r="E760" s="1"/>
      <c r="F760" s="5"/>
      <c r="G760" s="16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5"/>
      <c r="D761" s="1"/>
      <c r="E761" s="1"/>
      <c r="F761" s="5"/>
      <c r="G761" s="16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5"/>
      <c r="D762" s="1"/>
      <c r="E762" s="1"/>
      <c r="F762" s="5"/>
      <c r="G762" s="16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5"/>
      <c r="D763" s="1"/>
      <c r="E763" s="1"/>
      <c r="F763" s="5"/>
      <c r="G763" s="16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5"/>
      <c r="D764" s="1"/>
      <c r="E764" s="1"/>
      <c r="F764" s="5"/>
      <c r="G764" s="16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5"/>
      <c r="D765" s="1"/>
      <c r="E765" s="1"/>
      <c r="F765" s="5"/>
      <c r="G765" s="16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5"/>
      <c r="D766" s="1"/>
      <c r="E766" s="1"/>
      <c r="F766" s="5"/>
      <c r="G766" s="16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5"/>
      <c r="D767" s="1"/>
      <c r="E767" s="1"/>
      <c r="F767" s="5"/>
      <c r="G767" s="16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5"/>
      <c r="D768" s="1"/>
      <c r="E768" s="1"/>
      <c r="F768" s="5"/>
      <c r="G768" s="16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5"/>
      <c r="D769" s="1"/>
      <c r="E769" s="1"/>
      <c r="F769" s="5"/>
      <c r="G769" s="16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5"/>
      <c r="D770" s="1"/>
      <c r="E770" s="1"/>
      <c r="F770" s="5"/>
      <c r="G770" s="16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5"/>
      <c r="D771" s="1"/>
      <c r="E771" s="1"/>
      <c r="F771" s="5"/>
      <c r="G771" s="16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5"/>
      <c r="D772" s="1"/>
      <c r="E772" s="1"/>
      <c r="F772" s="5"/>
      <c r="G772" s="16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5"/>
      <c r="D773" s="1"/>
      <c r="E773" s="1"/>
      <c r="F773" s="5"/>
      <c r="G773" s="16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5"/>
      <c r="D774" s="1"/>
      <c r="E774" s="1"/>
      <c r="F774" s="5"/>
      <c r="G774" s="16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5"/>
      <c r="D775" s="1"/>
      <c r="E775" s="1"/>
      <c r="F775" s="5"/>
      <c r="G775" s="16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5"/>
      <c r="D776" s="1"/>
      <c r="E776" s="1"/>
      <c r="F776" s="5"/>
      <c r="G776" s="16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5"/>
      <c r="D777" s="1"/>
      <c r="E777" s="1"/>
      <c r="F777" s="5"/>
      <c r="G777" s="16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5"/>
      <c r="D778" s="1"/>
      <c r="E778" s="1"/>
      <c r="F778" s="5"/>
      <c r="G778" s="16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5"/>
      <c r="D779" s="1"/>
      <c r="E779" s="1"/>
      <c r="F779" s="5"/>
      <c r="G779" s="16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5"/>
      <c r="D780" s="1"/>
      <c r="E780" s="1"/>
      <c r="F780" s="5"/>
      <c r="G780" s="16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5"/>
      <c r="D781" s="1"/>
      <c r="E781" s="1"/>
      <c r="F781" s="5"/>
      <c r="G781" s="16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5"/>
      <c r="D782" s="1"/>
      <c r="E782" s="1"/>
      <c r="F782" s="5"/>
      <c r="G782" s="16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5"/>
      <c r="D783" s="1"/>
      <c r="E783" s="1"/>
      <c r="F783" s="5"/>
      <c r="G783" s="16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5"/>
      <c r="D784" s="1"/>
      <c r="E784" s="1"/>
      <c r="F784" s="5"/>
      <c r="G784" s="16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5"/>
      <c r="D785" s="1"/>
      <c r="E785" s="1"/>
      <c r="F785" s="5"/>
      <c r="G785" s="16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5"/>
      <c r="D786" s="1"/>
      <c r="E786" s="1"/>
      <c r="F786" s="5"/>
      <c r="G786" s="16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5"/>
      <c r="D787" s="1"/>
      <c r="E787" s="1"/>
      <c r="F787" s="5"/>
      <c r="G787" s="16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5"/>
      <c r="D788" s="1"/>
      <c r="E788" s="1"/>
      <c r="F788" s="5"/>
      <c r="G788" s="16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5"/>
      <c r="D789" s="1"/>
      <c r="E789" s="1"/>
      <c r="F789" s="5"/>
      <c r="G789" s="16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5"/>
      <c r="D790" s="1"/>
      <c r="E790" s="1"/>
      <c r="F790" s="5"/>
      <c r="G790" s="16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5"/>
      <c r="D791" s="1"/>
      <c r="E791" s="1"/>
      <c r="F791" s="5"/>
      <c r="G791" s="16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5"/>
      <c r="D792" s="1"/>
      <c r="E792" s="1"/>
      <c r="F792" s="5"/>
      <c r="G792" s="16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5"/>
      <c r="D793" s="1"/>
      <c r="E793" s="1"/>
      <c r="F793" s="5"/>
      <c r="G793" s="16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5"/>
      <c r="D794" s="1"/>
      <c r="E794" s="1"/>
      <c r="F794" s="5"/>
      <c r="G794" s="16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5"/>
      <c r="D795" s="1"/>
      <c r="E795" s="1"/>
      <c r="F795" s="5"/>
      <c r="G795" s="16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5"/>
      <c r="D796" s="1"/>
      <c r="E796" s="1"/>
      <c r="F796" s="5"/>
      <c r="G796" s="16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5"/>
      <c r="D797" s="1"/>
      <c r="E797" s="1"/>
      <c r="F797" s="5"/>
      <c r="G797" s="16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5"/>
      <c r="D798" s="1"/>
      <c r="E798" s="1"/>
      <c r="F798" s="5"/>
      <c r="G798" s="16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5"/>
      <c r="D799" s="1"/>
      <c r="E799" s="1"/>
      <c r="F799" s="5"/>
      <c r="G799" s="16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5"/>
      <c r="D800" s="1"/>
      <c r="E800" s="1"/>
      <c r="F800" s="5"/>
      <c r="G800" s="16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5"/>
      <c r="D801" s="1"/>
      <c r="E801" s="1"/>
      <c r="F801" s="5"/>
      <c r="G801" s="16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5"/>
      <c r="D802" s="1"/>
      <c r="E802" s="1"/>
      <c r="F802" s="5"/>
      <c r="G802" s="16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5"/>
      <c r="D803" s="1"/>
      <c r="E803" s="1"/>
      <c r="F803" s="5"/>
      <c r="G803" s="16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5"/>
      <c r="D804" s="1"/>
      <c r="E804" s="1"/>
      <c r="F804" s="5"/>
      <c r="G804" s="16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5"/>
      <c r="D805" s="1"/>
      <c r="E805" s="1"/>
      <c r="F805" s="5"/>
      <c r="G805" s="16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5"/>
      <c r="D806" s="1"/>
      <c r="E806" s="1"/>
      <c r="F806" s="5"/>
      <c r="G806" s="16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5"/>
      <c r="D807" s="1"/>
      <c r="E807" s="1"/>
      <c r="F807" s="5"/>
      <c r="G807" s="16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5"/>
      <c r="D808" s="1"/>
      <c r="E808" s="1"/>
      <c r="F808" s="5"/>
      <c r="G808" s="16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5"/>
      <c r="D809" s="1"/>
      <c r="E809" s="1"/>
      <c r="F809" s="5"/>
      <c r="G809" s="16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5"/>
      <c r="D810" s="1"/>
      <c r="E810" s="1"/>
      <c r="F810" s="5"/>
      <c r="G810" s="16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5"/>
      <c r="D811" s="1"/>
      <c r="E811" s="1"/>
      <c r="F811" s="5"/>
      <c r="G811" s="16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5"/>
      <c r="D812" s="1"/>
      <c r="E812" s="1"/>
      <c r="F812" s="5"/>
      <c r="G812" s="16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5"/>
      <c r="D813" s="1"/>
      <c r="E813" s="1"/>
      <c r="F813" s="5"/>
      <c r="G813" s="16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5"/>
      <c r="D814" s="1"/>
      <c r="E814" s="1"/>
      <c r="F814" s="5"/>
      <c r="G814" s="16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5"/>
      <c r="D815" s="1"/>
      <c r="E815" s="1"/>
      <c r="F815" s="5"/>
      <c r="G815" s="16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5"/>
      <c r="D816" s="1"/>
      <c r="E816" s="1"/>
      <c r="F816" s="5"/>
      <c r="G816" s="16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5"/>
      <c r="D817" s="1"/>
      <c r="E817" s="1"/>
      <c r="F817" s="5"/>
      <c r="G817" s="16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5"/>
      <c r="D818" s="1"/>
      <c r="E818" s="1"/>
      <c r="F818" s="5"/>
      <c r="G818" s="16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5"/>
      <c r="D819" s="1"/>
      <c r="E819" s="1"/>
      <c r="F819" s="5"/>
      <c r="G819" s="16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5"/>
      <c r="D820" s="1"/>
      <c r="E820" s="1"/>
      <c r="F820" s="5"/>
      <c r="G820" s="16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5"/>
      <c r="D821" s="1"/>
      <c r="E821" s="1"/>
      <c r="F821" s="5"/>
      <c r="G821" s="16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5"/>
      <c r="D822" s="1"/>
      <c r="E822" s="1"/>
      <c r="F822" s="5"/>
      <c r="G822" s="16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5"/>
      <c r="D823" s="1"/>
      <c r="E823" s="1"/>
      <c r="F823" s="5"/>
      <c r="G823" s="16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5"/>
      <c r="D824" s="1"/>
      <c r="E824" s="1"/>
      <c r="F824" s="5"/>
      <c r="G824" s="16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5"/>
      <c r="D825" s="1"/>
      <c r="E825" s="1"/>
      <c r="F825" s="5"/>
      <c r="G825" s="16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5"/>
      <c r="D826" s="1"/>
      <c r="E826" s="1"/>
      <c r="F826" s="5"/>
      <c r="G826" s="16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5"/>
      <c r="D827" s="1"/>
      <c r="E827" s="1"/>
      <c r="F827" s="5"/>
      <c r="G827" s="16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5"/>
      <c r="D828" s="1"/>
      <c r="E828" s="1"/>
      <c r="F828" s="5"/>
      <c r="G828" s="16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5"/>
      <c r="D829" s="1"/>
      <c r="E829" s="1"/>
      <c r="F829" s="5"/>
      <c r="G829" s="16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5"/>
      <c r="D830" s="1"/>
      <c r="E830" s="1"/>
      <c r="F830" s="5"/>
      <c r="G830" s="16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5"/>
      <c r="D831" s="1"/>
      <c r="E831" s="1"/>
      <c r="F831" s="5"/>
      <c r="G831" s="16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5"/>
      <c r="D832" s="1"/>
      <c r="E832" s="1"/>
      <c r="F832" s="5"/>
      <c r="G832" s="16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5"/>
      <c r="D833" s="1"/>
      <c r="E833" s="1"/>
      <c r="F833" s="5"/>
      <c r="G833" s="16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5"/>
      <c r="D834" s="1"/>
      <c r="E834" s="1"/>
      <c r="F834" s="5"/>
      <c r="G834" s="16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5"/>
      <c r="D835" s="1"/>
      <c r="E835" s="1"/>
      <c r="F835" s="5"/>
      <c r="G835" s="16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5"/>
      <c r="D836" s="1"/>
      <c r="E836" s="1"/>
      <c r="F836" s="5"/>
      <c r="G836" s="16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5"/>
      <c r="D837" s="1"/>
      <c r="E837" s="1"/>
      <c r="F837" s="5"/>
      <c r="G837" s="16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5"/>
      <c r="D838" s="1"/>
      <c r="E838" s="1"/>
      <c r="F838" s="5"/>
      <c r="G838" s="16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5"/>
      <c r="D839" s="1"/>
      <c r="E839" s="1"/>
      <c r="F839" s="5"/>
      <c r="G839" s="16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5"/>
      <c r="D840" s="1"/>
      <c r="E840" s="1"/>
      <c r="F840" s="5"/>
      <c r="G840" s="16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5"/>
      <c r="D841" s="1"/>
      <c r="E841" s="1"/>
      <c r="F841" s="5"/>
      <c r="G841" s="16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5"/>
      <c r="D842" s="1"/>
      <c r="E842" s="1"/>
      <c r="F842" s="5"/>
      <c r="G842" s="16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5"/>
      <c r="D843" s="1"/>
      <c r="E843" s="1"/>
      <c r="F843" s="5"/>
      <c r="G843" s="16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5"/>
      <c r="D844" s="1"/>
      <c r="E844" s="1"/>
      <c r="F844" s="5"/>
      <c r="G844" s="16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5"/>
      <c r="D845" s="1"/>
      <c r="E845" s="1"/>
      <c r="F845" s="5"/>
      <c r="G845" s="16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5"/>
      <c r="D846" s="1"/>
      <c r="E846" s="1"/>
      <c r="F846" s="5"/>
      <c r="G846" s="16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5"/>
      <c r="D847" s="1"/>
      <c r="E847" s="1"/>
      <c r="F847" s="5"/>
      <c r="G847" s="16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5"/>
      <c r="D848" s="1"/>
      <c r="E848" s="1"/>
      <c r="F848" s="5"/>
      <c r="G848" s="16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5"/>
      <c r="D849" s="1"/>
      <c r="E849" s="1"/>
      <c r="F849" s="5"/>
      <c r="G849" s="16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5"/>
      <c r="D850" s="1"/>
      <c r="E850" s="1"/>
      <c r="F850" s="5"/>
      <c r="G850" s="16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5"/>
      <c r="D851" s="1"/>
      <c r="E851" s="1"/>
      <c r="F851" s="5"/>
      <c r="G851" s="16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5"/>
      <c r="D852" s="1"/>
      <c r="E852" s="1"/>
      <c r="F852" s="5"/>
      <c r="G852" s="16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5"/>
      <c r="D853" s="1"/>
      <c r="E853" s="1"/>
      <c r="F853" s="5"/>
      <c r="G853" s="16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5"/>
      <c r="D854" s="1"/>
      <c r="E854" s="1"/>
      <c r="F854" s="5"/>
      <c r="G854" s="16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5"/>
      <c r="D855" s="1"/>
      <c r="E855" s="1"/>
      <c r="F855" s="5"/>
      <c r="G855" s="16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5"/>
      <c r="D856" s="1"/>
      <c r="E856" s="1"/>
      <c r="F856" s="5"/>
      <c r="G856" s="16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5"/>
      <c r="D857" s="1"/>
      <c r="E857" s="1"/>
      <c r="F857" s="5"/>
      <c r="G857" s="16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5"/>
      <c r="D858" s="1"/>
      <c r="E858" s="1"/>
      <c r="F858" s="5"/>
      <c r="G858" s="16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5"/>
      <c r="D859" s="1"/>
      <c r="E859" s="1"/>
      <c r="F859" s="5"/>
      <c r="G859" s="16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5"/>
      <c r="D860" s="1"/>
      <c r="E860" s="1"/>
      <c r="F860" s="5"/>
      <c r="G860" s="16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5"/>
      <c r="D861" s="1"/>
      <c r="E861" s="1"/>
      <c r="F861" s="5"/>
      <c r="G861" s="16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5"/>
      <c r="D862" s="1"/>
      <c r="E862" s="1"/>
      <c r="F862" s="5"/>
      <c r="G862" s="16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5"/>
      <c r="D863" s="1"/>
      <c r="E863" s="1"/>
      <c r="F863" s="5"/>
      <c r="G863" s="16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5"/>
      <c r="D864" s="1"/>
      <c r="E864" s="1"/>
      <c r="F864" s="5"/>
      <c r="G864" s="16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5"/>
      <c r="D865" s="1"/>
      <c r="E865" s="1"/>
      <c r="F865" s="5"/>
      <c r="G865" s="16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5"/>
      <c r="D866" s="1"/>
      <c r="E866" s="1"/>
      <c r="F866" s="5"/>
      <c r="G866" s="16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5"/>
      <c r="D867" s="1"/>
      <c r="E867" s="1"/>
      <c r="F867" s="5"/>
      <c r="G867" s="16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5"/>
      <c r="D868" s="1"/>
      <c r="E868" s="1"/>
      <c r="F868" s="5"/>
      <c r="G868" s="16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5"/>
      <c r="D869" s="1"/>
      <c r="E869" s="1"/>
      <c r="F869" s="5"/>
      <c r="G869" s="16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5"/>
      <c r="D870" s="1"/>
      <c r="E870" s="1"/>
      <c r="F870" s="5"/>
      <c r="G870" s="16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5"/>
      <c r="D871" s="1"/>
      <c r="E871" s="1"/>
      <c r="F871" s="5"/>
      <c r="G871" s="16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5"/>
      <c r="D872" s="1"/>
      <c r="E872" s="1"/>
      <c r="F872" s="5"/>
      <c r="G872" s="16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5"/>
      <c r="D873" s="1"/>
      <c r="E873" s="1"/>
      <c r="F873" s="5"/>
      <c r="G873" s="16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5"/>
      <c r="D874" s="1"/>
      <c r="E874" s="1"/>
      <c r="F874" s="5"/>
      <c r="G874" s="16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5"/>
      <c r="D875" s="1"/>
      <c r="E875" s="1"/>
      <c r="F875" s="5"/>
      <c r="G875" s="16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5"/>
      <c r="D876" s="1"/>
      <c r="E876" s="1"/>
      <c r="F876" s="5"/>
      <c r="G876" s="16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5"/>
      <c r="D877" s="1"/>
      <c r="E877" s="1"/>
      <c r="F877" s="5"/>
      <c r="G877" s="16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5"/>
      <c r="D878" s="1"/>
      <c r="E878" s="1"/>
      <c r="F878" s="5"/>
      <c r="G878" s="16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5"/>
      <c r="D879" s="1"/>
      <c r="E879" s="1"/>
      <c r="F879" s="5"/>
      <c r="G879" s="16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5"/>
      <c r="D880" s="1"/>
      <c r="E880" s="1"/>
      <c r="F880" s="5"/>
      <c r="G880" s="16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5"/>
      <c r="D881" s="1"/>
      <c r="E881" s="1"/>
      <c r="F881" s="5"/>
      <c r="G881" s="16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5"/>
      <c r="D882" s="1"/>
      <c r="E882" s="1"/>
      <c r="F882" s="5"/>
      <c r="G882" s="16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5"/>
      <c r="D883" s="1"/>
      <c r="E883" s="1"/>
      <c r="F883" s="5"/>
      <c r="G883" s="16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5"/>
      <c r="D884" s="1"/>
      <c r="E884" s="1"/>
      <c r="F884" s="5"/>
      <c r="G884" s="16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5"/>
      <c r="D885" s="1"/>
      <c r="E885" s="1"/>
      <c r="F885" s="5"/>
      <c r="G885" s="16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5"/>
      <c r="D886" s="1"/>
      <c r="E886" s="1"/>
      <c r="F886" s="5"/>
      <c r="G886" s="16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5"/>
      <c r="D887" s="1"/>
      <c r="E887" s="1"/>
      <c r="F887" s="5"/>
      <c r="G887" s="16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5"/>
      <c r="D888" s="1"/>
      <c r="E888" s="1"/>
      <c r="F888" s="5"/>
      <c r="G888" s="16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5"/>
      <c r="D889" s="1"/>
      <c r="E889" s="1"/>
      <c r="F889" s="5"/>
      <c r="G889" s="16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5"/>
      <c r="D890" s="1"/>
      <c r="E890" s="1"/>
      <c r="F890" s="5"/>
      <c r="G890" s="16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5"/>
      <c r="D891" s="1"/>
      <c r="E891" s="1"/>
      <c r="F891" s="5"/>
      <c r="G891" s="16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5"/>
      <c r="D892" s="1"/>
      <c r="E892" s="1"/>
      <c r="F892" s="5"/>
      <c r="G892" s="16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5"/>
      <c r="D893" s="1"/>
      <c r="E893" s="1"/>
      <c r="F893" s="5"/>
      <c r="G893" s="16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5"/>
      <c r="D894" s="1"/>
      <c r="E894" s="1"/>
      <c r="F894" s="5"/>
      <c r="G894" s="16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5"/>
      <c r="D895" s="1"/>
      <c r="E895" s="1"/>
      <c r="F895" s="5"/>
      <c r="G895" s="16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5"/>
      <c r="D896" s="1"/>
      <c r="E896" s="1"/>
      <c r="F896" s="5"/>
      <c r="G896" s="16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5"/>
      <c r="D897" s="1"/>
      <c r="E897" s="1"/>
      <c r="F897" s="5"/>
      <c r="G897" s="16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5"/>
      <c r="D898" s="1"/>
      <c r="E898" s="1"/>
      <c r="F898" s="5"/>
      <c r="G898" s="16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5"/>
      <c r="D899" s="1"/>
      <c r="E899" s="1"/>
      <c r="F899" s="5"/>
      <c r="G899" s="16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5"/>
      <c r="D900" s="1"/>
      <c r="E900" s="1"/>
      <c r="F900" s="5"/>
      <c r="G900" s="16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5"/>
      <c r="D901" s="1"/>
      <c r="E901" s="1"/>
      <c r="F901" s="5"/>
      <c r="G901" s="16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5"/>
      <c r="D902" s="1"/>
      <c r="E902" s="1"/>
      <c r="F902" s="5"/>
      <c r="G902" s="16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5"/>
      <c r="D903" s="1"/>
      <c r="E903" s="1"/>
      <c r="F903" s="5"/>
      <c r="G903" s="16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5"/>
      <c r="D904" s="1"/>
      <c r="E904" s="1"/>
      <c r="F904" s="5"/>
      <c r="G904" s="16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5"/>
      <c r="D905" s="1"/>
      <c r="E905" s="1"/>
      <c r="F905" s="5"/>
      <c r="G905" s="16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5"/>
      <c r="D906" s="1"/>
      <c r="E906" s="1"/>
      <c r="F906" s="5"/>
      <c r="G906" s="16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5"/>
      <c r="D907" s="1"/>
      <c r="E907" s="1"/>
      <c r="F907" s="5"/>
      <c r="G907" s="16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5"/>
      <c r="D908" s="1"/>
      <c r="E908" s="1"/>
      <c r="F908" s="5"/>
      <c r="G908" s="16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5"/>
      <c r="D909" s="1"/>
      <c r="E909" s="1"/>
      <c r="F909" s="5"/>
      <c r="G909" s="16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5"/>
      <c r="D910" s="1"/>
      <c r="E910" s="1"/>
      <c r="F910" s="5"/>
      <c r="G910" s="16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5"/>
      <c r="D911" s="1"/>
      <c r="E911" s="1"/>
      <c r="F911" s="5"/>
      <c r="G911" s="16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5"/>
      <c r="D912" s="1"/>
      <c r="E912" s="1"/>
      <c r="F912" s="5"/>
      <c r="G912" s="16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5"/>
      <c r="D913" s="1"/>
      <c r="E913" s="1"/>
      <c r="F913" s="5"/>
      <c r="G913" s="16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5"/>
      <c r="D914" s="1"/>
      <c r="E914" s="1"/>
      <c r="F914" s="5"/>
      <c r="G914" s="16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5"/>
      <c r="D915" s="1"/>
      <c r="E915" s="1"/>
      <c r="F915" s="5"/>
      <c r="G915" s="16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5"/>
      <c r="D916" s="1"/>
      <c r="E916" s="1"/>
      <c r="F916" s="5"/>
      <c r="G916" s="16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5"/>
      <c r="D917" s="1"/>
      <c r="E917" s="1"/>
      <c r="F917" s="5"/>
      <c r="G917" s="16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5"/>
      <c r="D918" s="1"/>
      <c r="E918" s="1"/>
      <c r="F918" s="5"/>
      <c r="G918" s="16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5"/>
      <c r="D919" s="1"/>
      <c r="E919" s="1"/>
      <c r="F919" s="5"/>
      <c r="G919" s="16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5"/>
      <c r="D920" s="1"/>
      <c r="E920" s="1"/>
      <c r="F920" s="5"/>
      <c r="G920" s="16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5"/>
      <c r="D921" s="1"/>
      <c r="E921" s="1"/>
      <c r="F921" s="5"/>
      <c r="G921" s="16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5"/>
      <c r="D922" s="1"/>
      <c r="E922" s="1"/>
      <c r="F922" s="5"/>
      <c r="G922" s="16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5"/>
      <c r="D923" s="1"/>
      <c r="E923" s="1"/>
      <c r="F923" s="5"/>
      <c r="G923" s="16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5"/>
      <c r="D924" s="1"/>
      <c r="E924" s="1"/>
      <c r="F924" s="5"/>
      <c r="G924" s="16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5"/>
      <c r="D925" s="1"/>
      <c r="E925" s="1"/>
      <c r="F925" s="5"/>
      <c r="G925" s="16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5"/>
      <c r="D926" s="1"/>
      <c r="E926" s="1"/>
      <c r="F926" s="5"/>
      <c r="G926" s="16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5"/>
      <c r="D927" s="1"/>
      <c r="E927" s="1"/>
      <c r="F927" s="5"/>
      <c r="G927" s="16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5"/>
      <c r="D928" s="1"/>
      <c r="E928" s="1"/>
      <c r="F928" s="5"/>
      <c r="G928" s="16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5"/>
      <c r="D929" s="1"/>
      <c r="E929" s="1"/>
      <c r="F929" s="5"/>
      <c r="G929" s="16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5"/>
      <c r="D930" s="1"/>
      <c r="E930" s="1"/>
      <c r="F930" s="5"/>
      <c r="G930" s="16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5"/>
      <c r="D931" s="1"/>
      <c r="E931" s="1"/>
      <c r="F931" s="5"/>
      <c r="G931" s="16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5"/>
      <c r="D932" s="1"/>
      <c r="E932" s="1"/>
      <c r="F932" s="5"/>
      <c r="G932" s="16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5"/>
      <c r="D933" s="1"/>
      <c r="E933" s="1"/>
      <c r="F933" s="5"/>
      <c r="G933" s="16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5"/>
      <c r="D934" s="1"/>
      <c r="E934" s="1"/>
      <c r="F934" s="5"/>
      <c r="G934" s="16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5"/>
      <c r="D935" s="1"/>
      <c r="E935" s="1"/>
      <c r="F935" s="5"/>
      <c r="G935" s="16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5"/>
      <c r="D936" s="1"/>
      <c r="E936" s="1"/>
      <c r="F936" s="5"/>
      <c r="G936" s="16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5"/>
      <c r="D937" s="1"/>
      <c r="E937" s="1"/>
      <c r="F937" s="5"/>
      <c r="G937" s="16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5"/>
      <c r="D938" s="1"/>
      <c r="E938" s="1"/>
      <c r="F938" s="5"/>
      <c r="G938" s="16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5"/>
      <c r="D939" s="1"/>
      <c r="E939" s="1"/>
      <c r="F939" s="5"/>
      <c r="G939" s="16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5"/>
      <c r="D940" s="1"/>
      <c r="E940" s="1"/>
      <c r="F940" s="5"/>
      <c r="G940" s="16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5"/>
      <c r="D941" s="1"/>
      <c r="E941" s="1"/>
      <c r="F941" s="5"/>
      <c r="G941" s="16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5"/>
      <c r="D942" s="1"/>
      <c r="E942" s="1"/>
      <c r="F942" s="5"/>
      <c r="G942" s="16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5"/>
      <c r="D943" s="1"/>
      <c r="E943" s="1"/>
      <c r="F943" s="5"/>
      <c r="G943" s="16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5"/>
      <c r="D944" s="1"/>
      <c r="E944" s="1"/>
      <c r="F944" s="5"/>
      <c r="G944" s="16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5"/>
      <c r="D945" s="1"/>
      <c r="E945" s="1"/>
      <c r="F945" s="5"/>
      <c r="G945" s="16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5"/>
      <c r="D946" s="1"/>
      <c r="E946" s="1"/>
      <c r="F946" s="5"/>
      <c r="G946" s="16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5"/>
      <c r="D947" s="1"/>
      <c r="E947" s="1"/>
      <c r="F947" s="5"/>
      <c r="G947" s="16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5"/>
      <c r="D948" s="1"/>
      <c r="E948" s="1"/>
      <c r="F948" s="5"/>
      <c r="G948" s="16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5"/>
      <c r="D949" s="1"/>
      <c r="E949" s="1"/>
      <c r="F949" s="5"/>
      <c r="G949" s="16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5"/>
      <c r="D950" s="1"/>
      <c r="E950" s="1"/>
      <c r="F950" s="5"/>
      <c r="G950" s="16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5"/>
      <c r="D951" s="1"/>
      <c r="E951" s="1"/>
      <c r="F951" s="5"/>
      <c r="G951" s="16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5"/>
      <c r="D952" s="1"/>
      <c r="E952" s="1"/>
      <c r="F952" s="5"/>
      <c r="G952" s="16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5"/>
      <c r="D953" s="1"/>
      <c r="E953" s="1"/>
      <c r="F953" s="5"/>
      <c r="G953" s="16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5"/>
      <c r="D954" s="1"/>
      <c r="E954" s="1"/>
      <c r="F954" s="5"/>
      <c r="G954" s="16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5"/>
      <c r="D955" s="1"/>
      <c r="E955" s="1"/>
      <c r="F955" s="5"/>
      <c r="G955" s="16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5"/>
      <c r="D956" s="1"/>
      <c r="E956" s="1"/>
      <c r="F956" s="5"/>
      <c r="G956" s="16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5"/>
      <c r="D957" s="1"/>
      <c r="E957" s="1"/>
      <c r="F957" s="5"/>
      <c r="G957" s="16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5"/>
      <c r="D958" s="1"/>
      <c r="E958" s="1"/>
      <c r="F958" s="5"/>
      <c r="G958" s="16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5"/>
      <c r="D959" s="1"/>
      <c r="E959" s="1"/>
      <c r="F959" s="5"/>
      <c r="G959" s="16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5"/>
      <c r="D960" s="1"/>
      <c r="E960" s="1"/>
      <c r="F960" s="5"/>
      <c r="G960" s="16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5"/>
      <c r="D961" s="1"/>
      <c r="E961" s="1"/>
      <c r="F961" s="5"/>
      <c r="G961" s="16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5"/>
      <c r="D962" s="1"/>
      <c r="E962" s="1"/>
      <c r="F962" s="5"/>
      <c r="G962" s="16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5"/>
      <c r="D963" s="1"/>
      <c r="E963" s="1"/>
      <c r="F963" s="5"/>
      <c r="G963" s="16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5"/>
      <c r="D964" s="1"/>
      <c r="E964" s="1"/>
      <c r="F964" s="5"/>
      <c r="G964" s="16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5"/>
      <c r="D965" s="1"/>
      <c r="E965" s="1"/>
      <c r="F965" s="5"/>
      <c r="G965" s="16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5"/>
      <c r="D966" s="1"/>
      <c r="E966" s="1"/>
      <c r="F966" s="5"/>
      <c r="G966" s="16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5"/>
      <c r="D967" s="1"/>
      <c r="E967" s="1"/>
      <c r="F967" s="5"/>
      <c r="G967" s="16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5"/>
      <c r="D968" s="1"/>
      <c r="E968" s="1"/>
      <c r="F968" s="5"/>
      <c r="G968" s="16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5"/>
      <c r="D969" s="1"/>
      <c r="E969" s="1"/>
      <c r="F969" s="5"/>
      <c r="G969" s="16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5"/>
      <c r="D970" s="1"/>
      <c r="E970" s="1"/>
      <c r="F970" s="5"/>
      <c r="G970" s="16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5"/>
      <c r="D971" s="1"/>
      <c r="E971" s="1"/>
      <c r="F971" s="5"/>
      <c r="G971" s="16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5"/>
      <c r="D972" s="1"/>
      <c r="E972" s="1"/>
      <c r="F972" s="5"/>
      <c r="G972" s="16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5"/>
      <c r="D973" s="1"/>
      <c r="E973" s="1"/>
      <c r="F973" s="5"/>
      <c r="G973" s="16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5"/>
      <c r="D974" s="1"/>
      <c r="E974" s="1"/>
      <c r="F974" s="5"/>
      <c r="G974" s="16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5"/>
      <c r="D975" s="1"/>
      <c r="E975" s="1"/>
      <c r="F975" s="5"/>
      <c r="G975" s="16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5"/>
      <c r="D976" s="1"/>
      <c r="E976" s="1"/>
      <c r="F976" s="5"/>
      <c r="G976" s="16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5"/>
      <c r="D977" s="1"/>
      <c r="E977" s="1"/>
      <c r="F977" s="5"/>
      <c r="G977" s="16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5"/>
      <c r="D978" s="1"/>
      <c r="E978" s="1"/>
      <c r="F978" s="5"/>
      <c r="G978" s="16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5"/>
      <c r="D979" s="1"/>
      <c r="E979" s="1"/>
      <c r="F979" s="5"/>
      <c r="G979" s="16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5"/>
      <c r="D980" s="1"/>
      <c r="E980" s="1"/>
      <c r="F980" s="5"/>
      <c r="G980" s="16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5"/>
      <c r="D981" s="1"/>
      <c r="E981" s="1"/>
      <c r="F981" s="5"/>
      <c r="G981" s="16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5"/>
      <c r="D982" s="1"/>
      <c r="E982" s="1"/>
      <c r="F982" s="5"/>
      <c r="G982" s="16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5"/>
      <c r="D983" s="1"/>
      <c r="E983" s="1"/>
      <c r="F983" s="5"/>
      <c r="G983" s="16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5"/>
      <c r="D984" s="1"/>
      <c r="E984" s="1"/>
      <c r="F984" s="5"/>
      <c r="G984" s="16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5"/>
      <c r="D985" s="1"/>
      <c r="E985" s="1"/>
      <c r="F985" s="5"/>
      <c r="G985" s="16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5"/>
      <c r="D986" s="1"/>
      <c r="E986" s="1"/>
      <c r="F986" s="5"/>
      <c r="G986" s="16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5"/>
      <c r="D987" s="1"/>
      <c r="E987" s="1"/>
      <c r="F987" s="5"/>
      <c r="G987" s="16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5"/>
      <c r="D988" s="1"/>
      <c r="E988" s="1"/>
      <c r="F988" s="5"/>
      <c r="G988" s="16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5"/>
      <c r="D989" s="1"/>
      <c r="E989" s="1"/>
      <c r="F989" s="5"/>
      <c r="G989" s="16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5"/>
      <c r="D990" s="1"/>
      <c r="E990" s="1"/>
      <c r="F990" s="5"/>
      <c r="G990" s="16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5"/>
      <c r="D991" s="1"/>
      <c r="E991" s="1"/>
      <c r="F991" s="5"/>
      <c r="G991" s="16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5"/>
      <c r="D992" s="1"/>
      <c r="E992" s="1"/>
      <c r="F992" s="5"/>
      <c r="G992" s="16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5"/>
      <c r="D993" s="1"/>
      <c r="E993" s="1"/>
      <c r="F993" s="5"/>
      <c r="G993" s="16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5"/>
      <c r="D994" s="1"/>
      <c r="E994" s="1"/>
      <c r="F994" s="5"/>
      <c r="G994" s="16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5"/>
      <c r="D995" s="1"/>
      <c r="E995" s="1"/>
      <c r="F995" s="5"/>
      <c r="G995" s="16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5"/>
      <c r="D996" s="1"/>
      <c r="E996" s="1"/>
      <c r="F996" s="5"/>
      <c r="G996" s="16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5"/>
      <c r="D997" s="1"/>
      <c r="E997" s="1"/>
      <c r="F997" s="5"/>
      <c r="G997" s="16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5"/>
      <c r="D998" s="1"/>
      <c r="E998" s="1"/>
      <c r="F998" s="5"/>
      <c r="G998" s="16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5"/>
      <c r="D999" s="1"/>
      <c r="E999" s="1"/>
      <c r="F999" s="5"/>
      <c r="G999" s="16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5"/>
      <c r="D1000" s="1"/>
      <c r="E1000" s="1"/>
      <c r="F1000" s="5"/>
      <c r="G1000" s="16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2023-11-08T13:48:44Z</dcterms:created>
  <dc:creator>raul martinez</dc:creator>
</cp:coreProperties>
</file>